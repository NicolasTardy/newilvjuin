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bnpparibas-my.sharepoint.com/personal/florent_blanchet_cetelem_fr/Documents/Documents/BUT/Tarif/"/>
    </mc:Choice>
  </mc:AlternateContent>
  <xr:revisionPtr revIDLastSave="2" documentId="8_{3FC262EE-A1F2-403A-9C43-4D17ECC4EA1E}" xr6:coauthVersionLast="47" xr6:coauthVersionMax="47" xr10:uidLastSave="{B3AE349C-8E1A-4D36-A9D3-471C409D6299}"/>
  <bookViews>
    <workbookView minimized="1" xWindow="9190" yWindow="6490" windowWidth="14400" windowHeight="8170" activeTab="3" xr2:uid="{00000000-000D-0000-FFFF-FFFF00000000}"/>
  </bookViews>
  <sheets>
    <sheet name="Simulateur" sheetId="6" r:id="rId1"/>
    <sheet name="PLV" sheetId="7" r:id="rId2"/>
    <sheet name="Calcul " sheetId="1" state="hidden" r:id="rId3"/>
    <sheet name="TAEA" sheetId="3" r:id="rId4"/>
    <sheet name="gamme" sheetId="9" r:id="rId5"/>
  </sheets>
  <externalReferences>
    <externalReference r:id="rId6"/>
  </externalReferences>
  <definedNames>
    <definedName name="_xlnm._FilterDatabase" localSheetId="4" hidden="1">gamme!$N$1:$N$25</definedName>
    <definedName name="_xleta.LOOKUP" hidden="1" xlm="1">#NAME?</definedName>
    <definedName name="_xleta.ROUND" hidden="1" xlm="1">#NAME?</definedName>
    <definedName name="_xlpm.amt" hidden="1" xlm="1">#NAME?</definedName>
    <definedName name="_xlpm.mask" hidden="1" xlm="1">#NAME?</definedName>
    <definedName name="_xlpm.maxAmt" hidden="1" xlm="1">#NAME?</definedName>
    <definedName name="_xlpm.minAmt" hidden="1" xlm="1">#NAME?</definedName>
    <definedName name="_xlpm.off" hidden="1" xlm="1">#NAME?</definedName>
    <definedName name="_xlpm.offer" hidden="1" xlm="1">#NAME?</definedName>
    <definedName name="_xlnm.Database">'[1]5 MS SS ASM'!#REF!</definedName>
    <definedName name="Feuil012">'[1]5 MS SS ASM'!#REF!</definedName>
    <definedName name="Feuil24">'[1]5 MS SS ASM'!#REF!</definedName>
    <definedName name="_xlnm.Print_Titles" localSheetId="2">'Calcul '!$37:$39</definedName>
    <definedName name="TAEA3">'[1]5 MS SS ASM'!#REF!</definedName>
    <definedName name="_xlnm.Print_Area" localSheetId="2">'Calcul '!$A$1:$AB$45</definedName>
    <definedName name="_xlnm.Print_Area" localSheetId="0">Simulateur!$A:$F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6" l="1"/>
  <c r="E10" i="7" l="1"/>
  <c r="E6" i="1" a="1"/>
  <c r="E6" i="1" s="1"/>
  <c r="D17" i="6" s="1"/>
  <c r="B26" i="7" s="1"/>
  <c r="D6" i="1" a="1"/>
  <c r="D6" i="1" s="1"/>
  <c r="N25" i="9"/>
  <c r="N24" i="9"/>
  <c r="N23" i="9"/>
  <c r="N22" i="9"/>
  <c r="N21" i="9"/>
  <c r="N20" i="9"/>
  <c r="N19" i="9"/>
  <c r="N18" i="9"/>
  <c r="N17" i="9"/>
  <c r="N16" i="9"/>
  <c r="N15" i="9"/>
  <c r="N14" i="9"/>
  <c r="N13" i="9"/>
  <c r="N12" i="9"/>
  <c r="N11" i="9"/>
  <c r="N10" i="9"/>
  <c r="N8" i="9"/>
  <c r="N7" i="9"/>
  <c r="N6" i="9"/>
  <c r="N5" i="9"/>
  <c r="N4" i="9"/>
  <c r="N3" i="9"/>
  <c r="N2" i="9"/>
  <c r="C19" i="1" a="1"/>
  <c r="C19" i="1" s="1"/>
  <c r="C15" i="1" a="1"/>
  <c r="C15" i="1" s="1"/>
  <c r="B15" i="1" a="1"/>
  <c r="B15" i="1" s="1"/>
  <c r="D15" i="6" s="1"/>
  <c r="B19" i="1" a="1"/>
  <c r="B19" i="1" s="1"/>
  <c r="C6" i="1" a="1"/>
  <c r="C6" i="1" s="1"/>
  <c r="B6" i="1" a="1"/>
  <c r="B6" i="1" s="1"/>
  <c r="B25" i="7" l="1"/>
  <c r="B37" i="7"/>
  <c r="B2" i="7" l="1"/>
  <c r="B4" i="7"/>
  <c r="D3" i="7"/>
  <c r="D2" i="7"/>
  <c r="B7" i="7" l="1"/>
  <c r="Q40" i="1"/>
  <c r="R40" i="1"/>
  <c r="A40" i="1" l="1"/>
  <c r="N20" i="1" l="1"/>
  <c r="M20" i="1"/>
  <c r="N19" i="1"/>
  <c r="M19" i="1"/>
  <c r="N18" i="1"/>
  <c r="M18" i="1"/>
  <c r="N17" i="1"/>
  <c r="M17" i="1"/>
  <c r="N16" i="1"/>
  <c r="M16" i="1"/>
  <c r="N73" i="1" l="1"/>
  <c r="N72" i="1"/>
  <c r="N71" i="1"/>
  <c r="N70" i="1"/>
  <c r="N69" i="1"/>
  <c r="N68" i="1"/>
  <c r="N67" i="1"/>
  <c r="N66" i="1"/>
  <c r="N65" i="1"/>
  <c r="N64" i="1"/>
  <c r="N63" i="1"/>
  <c r="N62" i="1"/>
  <c r="N61" i="1"/>
  <c r="N60" i="1"/>
  <c r="N59" i="1"/>
  <c r="N58" i="1"/>
  <c r="N57" i="1"/>
  <c r="N56" i="1"/>
  <c r="N55" i="1"/>
  <c r="N54" i="1"/>
  <c r="N53" i="1"/>
  <c r="N52" i="1"/>
  <c r="N51" i="1"/>
  <c r="N50" i="1"/>
  <c r="N49" i="1"/>
  <c r="N48" i="1"/>
  <c r="N47" i="1"/>
  <c r="N46" i="1"/>
  <c r="N45" i="1"/>
  <c r="N44" i="1"/>
  <c r="B25" i="1" l="1"/>
  <c r="AD38" i="1"/>
  <c r="AC38" i="1"/>
  <c r="J3" i="3"/>
  <c r="O15" i="1"/>
  <c r="C39" i="1"/>
  <c r="D39" i="1"/>
  <c r="E39" i="1"/>
  <c r="F39" i="1"/>
  <c r="P40" i="1"/>
  <c r="B39" i="1"/>
  <c r="E31" i="1" l="1"/>
  <c r="E30" i="1"/>
  <c r="E29" i="1"/>
  <c r="E28" i="1"/>
  <c r="J40" i="1"/>
  <c r="J2" i="3"/>
  <c r="J4" i="3" s="1"/>
  <c r="N40" i="1"/>
  <c r="S20" i="1" l="1" a="1"/>
  <c r="S20" i="1" s="1"/>
  <c r="O20" i="1" a="1"/>
  <c r="O20" i="1" s="1"/>
  <c r="P19" i="1" a="1"/>
  <c r="P19" i="1" s="1"/>
  <c r="Q18" i="1" a="1"/>
  <c r="Q18" i="1" s="1"/>
  <c r="S18" i="1" a="1"/>
  <c r="S18" i="1" s="1"/>
  <c r="R20" i="1" a="1"/>
  <c r="R20" i="1" s="1"/>
  <c r="S19" i="1" a="1"/>
  <c r="S19" i="1" s="1"/>
  <c r="O19" i="1" a="1"/>
  <c r="O19" i="1" s="1"/>
  <c r="P18" i="1" a="1"/>
  <c r="P18" i="1" s="1"/>
  <c r="O18" i="1" a="1"/>
  <c r="O18" i="1" s="1"/>
  <c r="R18" i="1" a="1"/>
  <c r="R18" i="1" s="1"/>
  <c r="Q20" i="1" a="1"/>
  <c r="Q20" i="1" s="1"/>
  <c r="R19" i="1" a="1"/>
  <c r="R19" i="1" s="1"/>
  <c r="P20" i="1" a="1"/>
  <c r="P20" i="1" s="1"/>
  <c r="Q19" i="1" a="1"/>
  <c r="Q19" i="1" s="1"/>
  <c r="S17" i="1" a="1"/>
  <c r="S17" i="1" s="1"/>
  <c r="Q17" i="1" a="1"/>
  <c r="Q17" i="1" s="1"/>
  <c r="R17" i="1" a="1"/>
  <c r="R17" i="1" s="1"/>
  <c r="O17" i="1" a="1"/>
  <c r="O17" i="1" s="1"/>
  <c r="P17" i="1" a="1"/>
  <c r="P17" i="1" s="1"/>
  <c r="R16" i="1" a="1"/>
  <c r="R16" i="1" s="1"/>
  <c r="S16" i="1" a="1"/>
  <c r="S16" i="1" s="1"/>
  <c r="P16" i="1" a="1"/>
  <c r="P16" i="1" s="1"/>
  <c r="Q16" i="1" a="1"/>
  <c r="Q16" i="1" s="1"/>
  <c r="O16" i="1" a="1"/>
  <c r="O16" i="1" s="1"/>
  <c r="H7" i="1"/>
  <c r="H5" i="1"/>
  <c r="L44" i="1"/>
  <c r="I40" i="1"/>
  <c r="C10" i="3"/>
  <c r="B148" i="3"/>
  <c r="B114" i="3"/>
  <c r="B77" i="3"/>
  <c r="B162" i="3"/>
  <c r="B67" i="3"/>
  <c r="B112" i="3"/>
  <c r="B54" i="3"/>
  <c r="B104" i="3"/>
  <c r="B168" i="3"/>
  <c r="B40" i="3"/>
  <c r="B17" i="3"/>
  <c r="B125" i="3"/>
  <c r="B157" i="3"/>
  <c r="B23" i="3"/>
  <c r="B210" i="3"/>
  <c r="B108" i="3"/>
  <c r="B94" i="3"/>
  <c r="B206" i="3"/>
  <c r="B42" i="3"/>
  <c r="B165" i="3"/>
  <c r="B189" i="3"/>
  <c r="B101" i="3"/>
  <c r="B106" i="3"/>
  <c r="B74" i="3"/>
  <c r="B166" i="3"/>
  <c r="B202" i="3"/>
  <c r="B139" i="3"/>
  <c r="B152" i="3"/>
  <c r="B184" i="3"/>
  <c r="B99" i="3"/>
  <c r="B138" i="3"/>
  <c r="B174" i="3"/>
  <c r="B137" i="3"/>
  <c r="B113" i="3"/>
  <c r="B31" i="3"/>
  <c r="B181" i="3"/>
  <c r="B26" i="3"/>
  <c r="B143" i="3"/>
  <c r="B72" i="3"/>
  <c r="B146" i="3"/>
  <c r="B84" i="3"/>
  <c r="B55" i="3"/>
  <c r="B16" i="3"/>
  <c r="B38" i="3"/>
  <c r="B163" i="3"/>
  <c r="B160" i="3"/>
  <c r="B13" i="3"/>
  <c r="B15" i="3"/>
  <c r="B59" i="3"/>
  <c r="B209" i="3"/>
  <c r="B129" i="3"/>
  <c r="B201" i="3"/>
  <c r="B83" i="3"/>
  <c r="B118" i="3"/>
  <c r="B180" i="3"/>
  <c r="B62" i="3"/>
  <c r="B46" i="3"/>
  <c r="B81" i="3"/>
  <c r="B22" i="3"/>
  <c r="B43" i="3"/>
  <c r="B96" i="3"/>
  <c r="B196" i="3"/>
  <c r="B178" i="3"/>
  <c r="B154" i="3"/>
  <c r="B95" i="3"/>
  <c r="B41" i="3"/>
  <c r="B144" i="3"/>
  <c r="B90" i="3"/>
  <c r="B156" i="3"/>
  <c r="B25" i="3"/>
  <c r="B132" i="3"/>
  <c r="B126" i="3"/>
  <c r="B133" i="3"/>
  <c r="B29" i="3"/>
  <c r="B37" i="3"/>
  <c r="B158" i="3"/>
  <c r="B45" i="3"/>
  <c r="B47" i="3"/>
  <c r="B39" i="3"/>
  <c r="B57" i="3"/>
  <c r="B204" i="3"/>
  <c r="B87" i="3"/>
  <c r="B176" i="3"/>
  <c r="B91" i="3"/>
  <c r="B102" i="3"/>
  <c r="B79" i="3"/>
  <c r="B179" i="3"/>
  <c r="B64" i="3"/>
  <c r="B48" i="3"/>
  <c r="B71" i="3"/>
  <c r="B30" i="3"/>
  <c r="B173" i="3"/>
  <c r="B115" i="3"/>
  <c r="B167" i="3"/>
  <c r="B187" i="3"/>
  <c r="B92" i="3"/>
  <c r="B124" i="3"/>
  <c r="B89" i="3"/>
  <c r="B190" i="3"/>
  <c r="B110" i="3"/>
  <c r="B109" i="3"/>
  <c r="B21" i="3"/>
  <c r="B136" i="3"/>
  <c r="B170" i="3"/>
  <c r="B82" i="3"/>
  <c r="B52" i="3"/>
  <c r="B198" i="3"/>
  <c r="B207" i="3"/>
  <c r="B32" i="3"/>
  <c r="B103" i="3"/>
  <c r="B150" i="3"/>
  <c r="B183" i="3"/>
  <c r="B12" i="3"/>
  <c r="B73" i="3"/>
  <c r="B24" i="3"/>
  <c r="B80" i="3"/>
  <c r="B66" i="3"/>
  <c r="B195" i="3"/>
  <c r="B65" i="3"/>
  <c r="B123" i="3"/>
  <c r="B11" i="3"/>
  <c r="B130" i="3"/>
  <c r="B98" i="3"/>
  <c r="B149" i="3"/>
  <c r="B140" i="3"/>
  <c r="B19" i="3"/>
  <c r="B75" i="3"/>
  <c r="B20" i="3"/>
  <c r="B36" i="3"/>
  <c r="B203" i="3"/>
  <c r="B169" i="3"/>
  <c r="B197" i="3"/>
  <c r="B86" i="3"/>
  <c r="B177" i="3"/>
  <c r="B111" i="3"/>
  <c r="B175" i="3"/>
  <c r="B127" i="3"/>
  <c r="B100" i="3"/>
  <c r="B63" i="3"/>
  <c r="B185" i="3"/>
  <c r="B50" i="3"/>
  <c r="B60" i="3"/>
  <c r="B135" i="3"/>
  <c r="B69" i="3"/>
  <c r="B49" i="3"/>
  <c r="B145" i="3"/>
  <c r="B151" i="3"/>
  <c r="B164" i="3"/>
  <c r="B28" i="3"/>
  <c r="B78" i="3"/>
  <c r="B186" i="3"/>
  <c r="B70" i="3"/>
  <c r="B171" i="3"/>
  <c r="B107" i="3"/>
  <c r="B153" i="3"/>
  <c r="B44" i="3"/>
  <c r="B85" i="3"/>
  <c r="B182" i="3"/>
  <c r="B35" i="3"/>
  <c r="B191" i="3"/>
  <c r="B121" i="3"/>
  <c r="B105" i="3"/>
  <c r="B147" i="3"/>
  <c r="B116" i="3"/>
  <c r="B51" i="3"/>
  <c r="B155" i="3"/>
  <c r="B161" i="3"/>
  <c r="B117" i="3"/>
  <c r="B128" i="3"/>
  <c r="B88" i="3"/>
  <c r="B205" i="3"/>
  <c r="B14" i="3"/>
  <c r="B27" i="3"/>
  <c r="B53" i="3"/>
  <c r="B199" i="3"/>
  <c r="B97" i="3"/>
  <c r="B76" i="3"/>
  <c r="B34" i="3"/>
  <c r="B194" i="3"/>
  <c r="B33" i="3"/>
  <c r="B159" i="3"/>
  <c r="B193" i="3"/>
  <c r="B56" i="3"/>
  <c r="B93" i="3"/>
  <c r="B192" i="3"/>
  <c r="B200" i="3"/>
  <c r="B58" i="3"/>
  <c r="B68" i="3"/>
  <c r="B208" i="3"/>
  <c r="B61" i="3"/>
  <c r="B120" i="3"/>
  <c r="B119" i="3"/>
  <c r="B18" i="3"/>
  <c r="B122" i="3"/>
  <c r="B131" i="3"/>
  <c r="B141" i="3"/>
  <c r="B142" i="3"/>
  <c r="B172" i="3"/>
  <c r="B188" i="3"/>
  <c r="B134" i="3"/>
  <c r="B40" i="1" l="1"/>
  <c r="F205" i="3"/>
  <c r="C205" i="3"/>
  <c r="G205" i="3" s="1"/>
  <c r="E205" i="3"/>
  <c r="D205" i="3"/>
  <c r="C198" i="3"/>
  <c r="G198" i="3" s="1"/>
  <c r="F198" i="3"/>
  <c r="E198" i="3"/>
  <c r="D198" i="3"/>
  <c r="E200" i="3"/>
  <c r="F200" i="3"/>
  <c r="C200" i="3"/>
  <c r="G200" i="3" s="1"/>
  <c r="D200" i="3"/>
  <c r="F203" i="3"/>
  <c r="D203" i="3"/>
  <c r="E203" i="3"/>
  <c r="C203" i="3"/>
  <c r="G203" i="3" s="1"/>
  <c r="E209" i="3"/>
  <c r="F209" i="3"/>
  <c r="D209" i="3"/>
  <c r="C209" i="3"/>
  <c r="G209" i="3" s="1"/>
  <c r="D202" i="3"/>
  <c r="F202" i="3"/>
  <c r="E202" i="3"/>
  <c r="C202" i="3"/>
  <c r="G202" i="3" s="1"/>
  <c r="E206" i="3"/>
  <c r="D206" i="3"/>
  <c r="C206" i="3"/>
  <c r="G206" i="3" s="1"/>
  <c r="F206" i="3"/>
  <c r="D204" i="3"/>
  <c r="F204" i="3"/>
  <c r="E204" i="3"/>
  <c r="C204" i="3"/>
  <c r="G204" i="3" s="1"/>
  <c r="D197" i="3"/>
  <c r="E197" i="3"/>
  <c r="C197" i="3"/>
  <c r="G197" i="3" s="1"/>
  <c r="F197" i="3"/>
  <c r="E207" i="3"/>
  <c r="D207" i="3"/>
  <c r="C207" i="3"/>
  <c r="G207" i="3" s="1"/>
  <c r="F207" i="3"/>
  <c r="C199" i="3"/>
  <c r="G199" i="3" s="1"/>
  <c r="D199" i="3"/>
  <c r="F199" i="3"/>
  <c r="E199" i="3"/>
  <c r="E210" i="3"/>
  <c r="F210" i="3"/>
  <c r="D210" i="3"/>
  <c r="C210" i="3"/>
  <c r="G210" i="3" s="1"/>
  <c r="C208" i="3"/>
  <c r="G208" i="3" s="1"/>
  <c r="E208" i="3"/>
  <c r="F208" i="3"/>
  <c r="D208" i="3"/>
  <c r="E201" i="3"/>
  <c r="D201" i="3"/>
  <c r="F201" i="3"/>
  <c r="C201" i="3"/>
  <c r="G201" i="3" s="1"/>
  <c r="C196" i="3"/>
  <c r="G196" i="3" s="1"/>
  <c r="E196" i="3"/>
  <c r="F196" i="3"/>
  <c r="D196" i="3"/>
  <c r="D10" i="3"/>
  <c r="E10" i="3" l="1"/>
  <c r="E163" i="3" l="1"/>
  <c r="E148" i="3"/>
  <c r="E188" i="3"/>
  <c r="E186" i="3"/>
  <c r="E155" i="3"/>
  <c r="E149" i="3"/>
  <c r="E164" i="3"/>
  <c r="E179" i="3"/>
  <c r="E180" i="3"/>
  <c r="E153" i="3"/>
  <c r="E184" i="3"/>
  <c r="E175" i="3"/>
  <c r="E170" i="3"/>
  <c r="E146" i="3"/>
  <c r="E181" i="3"/>
  <c r="E185" i="3"/>
  <c r="E169" i="3"/>
  <c r="E190" i="3"/>
  <c r="E157" i="3"/>
  <c r="E168" i="3"/>
  <c r="E174" i="3"/>
  <c r="E150" i="3"/>
  <c r="E178" i="3"/>
  <c r="E158" i="3"/>
  <c r="E192" i="3"/>
  <c r="E183" i="3"/>
  <c r="E182" i="3"/>
  <c r="E147" i="3"/>
  <c r="E189" i="3"/>
  <c r="E187" i="3"/>
  <c r="E160" i="3"/>
  <c r="E191" i="3"/>
  <c r="E171" i="3"/>
  <c r="E195" i="3"/>
  <c r="E194" i="3"/>
  <c r="E151" i="3"/>
  <c r="E162" i="3"/>
  <c r="E161" i="3"/>
  <c r="E167" i="3"/>
  <c r="E173" i="3"/>
  <c r="E166" i="3"/>
  <c r="E154" i="3"/>
  <c r="E193" i="3"/>
  <c r="E159" i="3"/>
  <c r="E156" i="3"/>
  <c r="E165" i="3"/>
  <c r="E177" i="3"/>
  <c r="E152" i="3"/>
  <c r="E176" i="3"/>
  <c r="E172" i="3"/>
  <c r="D175" i="3"/>
  <c r="D161" i="3"/>
  <c r="D186" i="3"/>
  <c r="D180" i="3"/>
  <c r="D152" i="3"/>
  <c r="D184" i="3"/>
  <c r="D164" i="3"/>
  <c r="D170" i="3"/>
  <c r="D146" i="3"/>
  <c r="D181" i="3"/>
  <c r="D179" i="3"/>
  <c r="D193" i="3"/>
  <c r="D153" i="3"/>
  <c r="D148" i="3"/>
  <c r="D149" i="3"/>
  <c r="D188" i="3"/>
  <c r="D158" i="3"/>
  <c r="D194" i="3"/>
  <c r="D147" i="3"/>
  <c r="D151" i="3"/>
  <c r="D156" i="3"/>
  <c r="D165" i="3"/>
  <c r="D189" i="3"/>
  <c r="D171" i="3"/>
  <c r="D166" i="3"/>
  <c r="D191" i="3"/>
  <c r="D183" i="3"/>
  <c r="D154" i="3"/>
  <c r="D187" i="3"/>
  <c r="D169" i="3"/>
  <c r="D176" i="3"/>
  <c r="D157" i="3"/>
  <c r="D168" i="3"/>
  <c r="D162" i="3"/>
  <c r="D178" i="3"/>
  <c r="D163" i="3"/>
  <c r="D174" i="3"/>
  <c r="D173" i="3"/>
  <c r="D182" i="3"/>
  <c r="D177" i="3"/>
  <c r="D159" i="3"/>
  <c r="D172" i="3"/>
  <c r="D155" i="3"/>
  <c r="D192" i="3"/>
  <c r="D150" i="3"/>
  <c r="D195" i="3"/>
  <c r="D185" i="3"/>
  <c r="D190" i="3"/>
  <c r="D167" i="3"/>
  <c r="D160" i="3"/>
  <c r="F10" i="3"/>
  <c r="C184" i="3" l="1"/>
  <c r="G184" i="3" s="1"/>
  <c r="C149" i="3"/>
  <c r="G149" i="3" s="1"/>
  <c r="C164" i="3"/>
  <c r="G164" i="3" s="1"/>
  <c r="C146" i="3"/>
  <c r="G146" i="3" s="1"/>
  <c r="C182" i="3"/>
  <c r="G182" i="3" s="1"/>
  <c r="C153" i="3"/>
  <c r="G153" i="3" s="1"/>
  <c r="C175" i="3"/>
  <c r="G175" i="3" s="1"/>
  <c r="C172" i="3"/>
  <c r="G172" i="3" s="1"/>
  <c r="C177" i="3"/>
  <c r="G177" i="3" s="1"/>
  <c r="C170" i="3"/>
  <c r="G170" i="3" s="1"/>
  <c r="C181" i="3"/>
  <c r="G181" i="3" s="1"/>
  <c r="C188" i="3"/>
  <c r="G188" i="3" s="1"/>
  <c r="C161" i="3"/>
  <c r="G161" i="3" s="1"/>
  <c r="C193" i="3"/>
  <c r="G193" i="3" s="1"/>
  <c r="C148" i="3"/>
  <c r="G148" i="3" s="1"/>
  <c r="C194" i="3"/>
  <c r="G194" i="3" s="1"/>
  <c r="C147" i="3"/>
  <c r="G147" i="3" s="1"/>
  <c r="C173" i="3"/>
  <c r="G173" i="3" s="1"/>
  <c r="C165" i="3"/>
  <c r="G165" i="3" s="1"/>
  <c r="C189" i="3"/>
  <c r="G189" i="3" s="1"/>
  <c r="C171" i="3"/>
  <c r="G171" i="3" s="1"/>
  <c r="C166" i="3"/>
  <c r="G166" i="3" s="1"/>
  <c r="C159" i="3"/>
  <c r="G159" i="3" s="1"/>
  <c r="C187" i="3"/>
  <c r="G187" i="3" s="1"/>
  <c r="C163" i="3"/>
  <c r="G163" i="3" s="1"/>
  <c r="C155" i="3"/>
  <c r="G155" i="3" s="1"/>
  <c r="C174" i="3"/>
  <c r="G174" i="3" s="1"/>
  <c r="C179" i="3"/>
  <c r="G179" i="3" s="1"/>
  <c r="C176" i="3"/>
  <c r="G176" i="3" s="1"/>
  <c r="C191" i="3"/>
  <c r="G191" i="3" s="1"/>
  <c r="C154" i="3"/>
  <c r="G154" i="3" s="1"/>
  <c r="C195" i="3"/>
  <c r="G195" i="3" s="1"/>
  <c r="C167" i="3"/>
  <c r="G167" i="3" s="1"/>
  <c r="C151" i="3"/>
  <c r="G151" i="3" s="1"/>
  <c r="C162" i="3"/>
  <c r="G162" i="3" s="1"/>
  <c r="C157" i="3"/>
  <c r="G157" i="3" s="1"/>
  <c r="C180" i="3"/>
  <c r="G180" i="3" s="1"/>
  <c r="C185" i="3"/>
  <c r="G185" i="3" s="1"/>
  <c r="C169" i="3"/>
  <c r="G169" i="3" s="1"/>
  <c r="C190" i="3"/>
  <c r="G190" i="3" s="1"/>
  <c r="C152" i="3"/>
  <c r="G152" i="3" s="1"/>
  <c r="C158" i="3"/>
  <c r="G158" i="3" s="1"/>
  <c r="C160" i="3"/>
  <c r="G160" i="3" s="1"/>
  <c r="C156" i="3"/>
  <c r="G156" i="3" s="1"/>
  <c r="C192" i="3"/>
  <c r="G192" i="3" s="1"/>
  <c r="C168" i="3"/>
  <c r="G168" i="3" s="1"/>
  <c r="C183" i="3"/>
  <c r="G183" i="3" s="1"/>
  <c r="C186" i="3"/>
  <c r="G186" i="3" s="1"/>
  <c r="C150" i="3"/>
  <c r="G150" i="3" s="1"/>
  <c r="C178" i="3"/>
  <c r="G178" i="3" s="1"/>
  <c r="F153" i="3"/>
  <c r="F148" i="3"/>
  <c r="F170" i="3"/>
  <c r="F181" i="3"/>
  <c r="F188" i="3"/>
  <c r="F179" i="3"/>
  <c r="F149" i="3"/>
  <c r="F161" i="3"/>
  <c r="F180" i="3"/>
  <c r="F184" i="3"/>
  <c r="F175" i="3"/>
  <c r="F146" i="3"/>
  <c r="F186" i="3"/>
  <c r="F172" i="3"/>
  <c r="F164" i="3"/>
  <c r="F176" i="3"/>
  <c r="F173" i="3"/>
  <c r="F192" i="3"/>
  <c r="F159" i="3"/>
  <c r="F162" i="3"/>
  <c r="F185" i="3"/>
  <c r="F151" i="3"/>
  <c r="F190" i="3"/>
  <c r="F156" i="3"/>
  <c r="F191" i="3"/>
  <c r="F154" i="3"/>
  <c r="F174" i="3"/>
  <c r="F150" i="3"/>
  <c r="F152" i="3"/>
  <c r="F171" i="3"/>
  <c r="F167" i="3"/>
  <c r="F178" i="3"/>
  <c r="F155" i="3"/>
  <c r="F147" i="3"/>
  <c r="F189" i="3"/>
  <c r="F163" i="3"/>
  <c r="F182" i="3"/>
  <c r="F177" i="3"/>
  <c r="F160" i="3"/>
  <c r="F166" i="3"/>
  <c r="F193" i="3"/>
  <c r="F195" i="3"/>
  <c r="F157" i="3"/>
  <c r="F194" i="3"/>
  <c r="F168" i="3"/>
  <c r="F183" i="3"/>
  <c r="F158" i="3"/>
  <c r="F187" i="3"/>
  <c r="F169" i="3"/>
  <c r="F165" i="3"/>
  <c r="G10" i="3"/>
  <c r="G5" i="1" l="1"/>
  <c r="P44" i="1" s="1"/>
  <c r="G7" i="1"/>
  <c r="O44" i="1" l="1"/>
  <c r="P74" i="1"/>
  <c r="P70" i="1"/>
  <c r="P66" i="1"/>
  <c r="P62" i="1"/>
  <c r="P58" i="1"/>
  <c r="P54" i="1"/>
  <c r="P50" i="1"/>
  <c r="P46" i="1"/>
  <c r="P69" i="1"/>
  <c r="P57" i="1"/>
  <c r="P49" i="1"/>
  <c r="P47" i="1"/>
  <c r="P73" i="1"/>
  <c r="P65" i="1"/>
  <c r="P61" i="1"/>
  <c r="P53" i="1"/>
  <c r="P45" i="1"/>
  <c r="P55" i="1"/>
  <c r="P51" i="1"/>
  <c r="P72" i="1"/>
  <c r="P68" i="1"/>
  <c r="P64" i="1"/>
  <c r="P60" i="1"/>
  <c r="P56" i="1"/>
  <c r="P52" i="1"/>
  <c r="P48" i="1"/>
  <c r="P71" i="1"/>
  <c r="P67" i="1"/>
  <c r="P63" i="1"/>
  <c r="P59" i="1"/>
  <c r="O49" i="1"/>
  <c r="O63" i="1"/>
  <c r="O47" i="1"/>
  <c r="O74" i="1"/>
  <c r="O70" i="1"/>
  <c r="O66" i="1"/>
  <c r="O62" i="1"/>
  <c r="O58" i="1"/>
  <c r="O54" i="1"/>
  <c r="O50" i="1"/>
  <c r="O46" i="1"/>
  <c r="O57" i="1"/>
  <c r="O45" i="1"/>
  <c r="O71" i="1"/>
  <c r="O55" i="1"/>
  <c r="O73" i="1"/>
  <c r="O69" i="1"/>
  <c r="O65" i="1"/>
  <c r="O61" i="1"/>
  <c r="O53" i="1"/>
  <c r="O51" i="1"/>
  <c r="O72" i="1"/>
  <c r="O68" i="1"/>
  <c r="O64" i="1"/>
  <c r="O60" i="1"/>
  <c r="O56" i="1"/>
  <c r="O52" i="1"/>
  <c r="O48" i="1"/>
  <c r="O67" i="1"/>
  <c r="O59" i="1"/>
  <c r="D40" i="1"/>
  <c r="C40" i="1"/>
  <c r="E40" i="1"/>
  <c r="F40" i="1"/>
  <c r="G40" i="1" l="1"/>
  <c r="Q59" i="1"/>
  <c r="Q67" i="1"/>
  <c r="Q65" i="1"/>
  <c r="Q55" i="1"/>
  <c r="Q70" i="1"/>
  <c r="Q45" i="1"/>
  <c r="Q54" i="1"/>
  <c r="Q50" i="1"/>
  <c r="Q63" i="1"/>
  <c r="Q52" i="1"/>
  <c r="Q69" i="1"/>
  <c r="Q74" i="1"/>
  <c r="Q56" i="1"/>
  <c r="Q53" i="1"/>
  <c r="Q46" i="1"/>
  <c r="Q60" i="1"/>
  <c r="Q61" i="1"/>
  <c r="Q48" i="1"/>
  <c r="Q68" i="1"/>
  <c r="Q73" i="1"/>
  <c r="Q58" i="1"/>
  <c r="Q64" i="1"/>
  <c r="Q72" i="1"/>
  <c r="Q47" i="1"/>
  <c r="Q62" i="1"/>
  <c r="Q71" i="1"/>
  <c r="Q51" i="1"/>
  <c r="Q49" i="1"/>
  <c r="Q66" i="1"/>
  <c r="Q57" i="1"/>
  <c r="Q44" i="1"/>
  <c r="L40" i="1" l="1"/>
  <c r="K40" i="1" s="1"/>
  <c r="S40" i="1" s="1"/>
  <c r="O40" i="1"/>
  <c r="H40" i="1"/>
  <c r="AD47" i="1" a="1"/>
  <c r="AD47" i="1" s="1"/>
  <c r="AE47" i="1" s="1"/>
  <c r="AD51" i="1" a="1"/>
  <c r="AD51" i="1" s="1"/>
  <c r="AE51" i="1" s="1"/>
  <c r="AD55" i="1" a="1"/>
  <c r="AD55" i="1" s="1"/>
  <c r="AE55" i="1" s="1"/>
  <c r="AD59" i="1" a="1"/>
  <c r="AD59" i="1" s="1"/>
  <c r="AE59" i="1" s="1"/>
  <c r="AD63" i="1" a="1"/>
  <c r="AD63" i="1" s="1"/>
  <c r="AE63" i="1" s="1"/>
  <c r="AD67" i="1" a="1"/>
  <c r="AD67" i="1" s="1"/>
  <c r="AE67" i="1" s="1"/>
  <c r="AD71" i="1" a="1"/>
  <c r="AD71" i="1" s="1"/>
  <c r="AE71" i="1" s="1"/>
  <c r="AD75" i="1" a="1"/>
  <c r="AD75" i="1" s="1"/>
  <c r="AE75" i="1" s="1"/>
  <c r="AD79" i="1" a="1"/>
  <c r="AD79" i="1" s="1"/>
  <c r="AE79" i="1" s="1"/>
  <c r="AD83" i="1" a="1"/>
  <c r="AD83" i="1" s="1"/>
  <c r="AE83" i="1" s="1"/>
  <c r="AD87" i="1" a="1"/>
  <c r="AD87" i="1" s="1"/>
  <c r="AE87" i="1" s="1"/>
  <c r="AD91" i="1" a="1"/>
  <c r="AD91" i="1" s="1"/>
  <c r="AE91" i="1" s="1"/>
  <c r="AD95" i="1" a="1"/>
  <c r="AD95" i="1" s="1"/>
  <c r="AE95" i="1" s="1"/>
  <c r="AD99" i="1" a="1"/>
  <c r="AD99" i="1" s="1"/>
  <c r="AE99" i="1" s="1"/>
  <c r="AD103" i="1" a="1"/>
  <c r="AD103" i="1" s="1"/>
  <c r="AE103" i="1" s="1"/>
  <c r="AD107" i="1" a="1"/>
  <c r="AD107" i="1" s="1"/>
  <c r="AE107" i="1" s="1"/>
  <c r="AD111" i="1" a="1"/>
  <c r="AD111" i="1" s="1"/>
  <c r="AE111" i="1" s="1"/>
  <c r="AD115" i="1" a="1"/>
  <c r="AD115" i="1" s="1"/>
  <c r="AE115" i="1" s="1"/>
  <c r="AD119" i="1" a="1"/>
  <c r="AD119" i="1" s="1"/>
  <c r="AE119" i="1" s="1"/>
  <c r="AD123" i="1" a="1"/>
  <c r="AD123" i="1" s="1"/>
  <c r="AE123" i="1" s="1"/>
  <c r="AD127" i="1" a="1"/>
  <c r="AD127" i="1" s="1"/>
  <c r="AE127" i="1" s="1"/>
  <c r="AD131" i="1" a="1"/>
  <c r="AD131" i="1" s="1"/>
  <c r="AE131" i="1" s="1"/>
  <c r="AD135" i="1" a="1"/>
  <c r="AD135" i="1" s="1"/>
  <c r="AE135" i="1" s="1"/>
  <c r="AD139" i="1" a="1"/>
  <c r="AD139" i="1" s="1"/>
  <c r="AE139" i="1" s="1"/>
  <c r="AD143" i="1" a="1"/>
  <c r="AD143" i="1" s="1"/>
  <c r="AE143" i="1" s="1"/>
  <c r="AD147" i="1" a="1"/>
  <c r="AD147" i="1" s="1"/>
  <c r="AE147" i="1" s="1"/>
  <c r="AD151" i="1" a="1"/>
  <c r="AD151" i="1" s="1"/>
  <c r="AE151" i="1" s="1"/>
  <c r="AD163" i="1" a="1"/>
  <c r="AD163" i="1" s="1"/>
  <c r="AE163" i="1" s="1"/>
  <c r="AD187" i="1" a="1"/>
  <c r="AD187" i="1" s="1"/>
  <c r="AE187" i="1" s="1"/>
  <c r="AD211" i="1" a="1"/>
  <c r="AD211" i="1" s="1"/>
  <c r="AE211" i="1" s="1"/>
  <c r="AD52" i="1" a="1"/>
  <c r="AD52" i="1" s="1"/>
  <c r="AE52" i="1" s="1"/>
  <c r="AD60" i="1" a="1"/>
  <c r="AD60" i="1" s="1"/>
  <c r="AE60" i="1" s="1"/>
  <c r="AD68" i="1" a="1"/>
  <c r="AD68" i="1" s="1"/>
  <c r="AE68" i="1" s="1"/>
  <c r="AD76" i="1" a="1"/>
  <c r="AD76" i="1" s="1"/>
  <c r="AE76" i="1" s="1"/>
  <c r="AD84" i="1" a="1"/>
  <c r="AD84" i="1" s="1"/>
  <c r="AE84" i="1" s="1"/>
  <c r="AD92" i="1" a="1"/>
  <c r="AD92" i="1" s="1"/>
  <c r="AE92" i="1" s="1"/>
  <c r="AD96" i="1" a="1"/>
  <c r="AD96" i="1" s="1"/>
  <c r="AE96" i="1" s="1"/>
  <c r="AD104" i="1" a="1"/>
  <c r="AD104" i="1" s="1"/>
  <c r="AE104" i="1" s="1"/>
  <c r="AD108" i="1" a="1"/>
  <c r="AD108" i="1" s="1"/>
  <c r="AE108" i="1" s="1"/>
  <c r="AD116" i="1" a="1"/>
  <c r="AD116" i="1" s="1"/>
  <c r="AE116" i="1" s="1"/>
  <c r="AD124" i="1" a="1"/>
  <c r="AD124" i="1" s="1"/>
  <c r="AE124" i="1" s="1"/>
  <c r="AD132" i="1" a="1"/>
  <c r="AD132" i="1" s="1"/>
  <c r="AE132" i="1" s="1"/>
  <c r="AD140" i="1" a="1"/>
  <c r="AD140" i="1" s="1"/>
  <c r="AE140" i="1" s="1"/>
  <c r="AD148" i="1" a="1"/>
  <c r="AD148" i="1" s="1"/>
  <c r="AE148" i="1" s="1"/>
  <c r="AD156" i="1" a="1"/>
  <c r="AD156" i="1" s="1"/>
  <c r="AE156" i="1" s="1"/>
  <c r="AD164" i="1" a="1"/>
  <c r="AD164" i="1" s="1"/>
  <c r="AE164" i="1" s="1"/>
  <c r="AD172" i="1" a="1"/>
  <c r="AD172" i="1" s="1"/>
  <c r="AE172" i="1" s="1"/>
  <c r="AD180" i="1" a="1"/>
  <c r="AD180" i="1" s="1"/>
  <c r="AE180" i="1" s="1"/>
  <c r="AD188" i="1" a="1"/>
  <c r="AD188" i="1" s="1"/>
  <c r="AE188" i="1" s="1"/>
  <c r="AD196" i="1" a="1"/>
  <c r="AD196" i="1" s="1"/>
  <c r="AE196" i="1" s="1"/>
  <c r="AD204" i="1" a="1"/>
  <c r="AD204" i="1" s="1"/>
  <c r="AE204" i="1" s="1"/>
  <c r="AD212" i="1" a="1"/>
  <c r="AD212" i="1" s="1"/>
  <c r="AE212" i="1" s="1"/>
  <c r="AD220" i="1" a="1"/>
  <c r="AD220" i="1" s="1"/>
  <c r="AE220" i="1" s="1"/>
  <c r="AD158" i="1" a="1"/>
  <c r="AD158" i="1" s="1"/>
  <c r="AE158" i="1" s="1"/>
  <c r="AD178" i="1" a="1"/>
  <c r="AD178" i="1" s="1"/>
  <c r="AE178" i="1" s="1"/>
  <c r="AD198" i="1" a="1"/>
  <c r="AD198" i="1" s="1"/>
  <c r="AE198" i="1" s="1"/>
  <c r="AD218" i="1" a="1"/>
  <c r="AD218" i="1" s="1"/>
  <c r="AE218" i="1" s="1"/>
  <c r="AD171" i="1" a="1"/>
  <c r="AD171" i="1" s="1"/>
  <c r="AE171" i="1" s="1"/>
  <c r="AD195" i="1" a="1"/>
  <c r="AD195" i="1" s="1"/>
  <c r="AE195" i="1" s="1"/>
  <c r="AD48" i="1" a="1"/>
  <c r="AD48" i="1" s="1"/>
  <c r="AE48" i="1" s="1"/>
  <c r="AD56" i="1" a="1"/>
  <c r="AD56" i="1" s="1"/>
  <c r="AE56" i="1" s="1"/>
  <c r="AD64" i="1" a="1"/>
  <c r="AD64" i="1" s="1"/>
  <c r="AE64" i="1" s="1"/>
  <c r="AD72" i="1" a="1"/>
  <c r="AD72" i="1" s="1"/>
  <c r="AE72" i="1" s="1"/>
  <c r="AD80" i="1" a="1"/>
  <c r="AD80" i="1" s="1"/>
  <c r="AE80" i="1" s="1"/>
  <c r="AD88" i="1" a="1"/>
  <c r="AD88" i="1" s="1"/>
  <c r="AE88" i="1" s="1"/>
  <c r="AD100" i="1" a="1"/>
  <c r="AD100" i="1" s="1"/>
  <c r="AE100" i="1" s="1"/>
  <c r="AD112" i="1" a="1"/>
  <c r="AD112" i="1" s="1"/>
  <c r="AE112" i="1" s="1"/>
  <c r="AD120" i="1" a="1"/>
  <c r="AD120" i="1" s="1"/>
  <c r="AE120" i="1" s="1"/>
  <c r="AD128" i="1" a="1"/>
  <c r="AD128" i="1" s="1"/>
  <c r="AE128" i="1" s="1"/>
  <c r="AD136" i="1" a="1"/>
  <c r="AD136" i="1" s="1"/>
  <c r="AE136" i="1" s="1"/>
  <c r="AD144" i="1" a="1"/>
  <c r="AD144" i="1" s="1"/>
  <c r="AE144" i="1" s="1"/>
  <c r="AD152" i="1" a="1"/>
  <c r="AD152" i="1" s="1"/>
  <c r="AE152" i="1" s="1"/>
  <c r="AD160" i="1" a="1"/>
  <c r="AD160" i="1" s="1"/>
  <c r="AE160" i="1" s="1"/>
  <c r="AD168" i="1" a="1"/>
  <c r="AD168" i="1" s="1"/>
  <c r="AE168" i="1" s="1"/>
  <c r="AD176" i="1" a="1"/>
  <c r="AD176" i="1" s="1"/>
  <c r="AE176" i="1" s="1"/>
  <c r="AD184" i="1" a="1"/>
  <c r="AD184" i="1" s="1"/>
  <c r="AE184" i="1" s="1"/>
  <c r="AD192" i="1" a="1"/>
  <c r="AD192" i="1" s="1"/>
  <c r="AE192" i="1" s="1"/>
  <c r="AD200" i="1" a="1"/>
  <c r="AD200" i="1" s="1"/>
  <c r="AE200" i="1" s="1"/>
  <c r="AD208" i="1" a="1"/>
  <c r="AD208" i="1" s="1"/>
  <c r="AE208" i="1" s="1"/>
  <c r="AD216" i="1" a="1"/>
  <c r="AD216" i="1" s="1"/>
  <c r="AE216" i="1" s="1"/>
  <c r="AD146" i="1" a="1"/>
  <c r="AD146" i="1" s="1"/>
  <c r="AE146" i="1" s="1"/>
  <c r="AD166" i="1" a="1"/>
  <c r="AD166" i="1" s="1"/>
  <c r="AE166" i="1" s="1"/>
  <c r="AD186" i="1" a="1"/>
  <c r="AD186" i="1" s="1"/>
  <c r="AE186" i="1" s="1"/>
  <c r="AD206" i="1" a="1"/>
  <c r="AD206" i="1" s="1"/>
  <c r="AE206" i="1" s="1"/>
  <c r="AD155" i="1" a="1"/>
  <c r="AD155" i="1" s="1"/>
  <c r="AE155" i="1" s="1"/>
  <c r="AD179" i="1" a="1"/>
  <c r="AD179" i="1" s="1"/>
  <c r="AE179" i="1" s="1"/>
  <c r="AD203" i="1" a="1"/>
  <c r="AD203" i="1" s="1"/>
  <c r="AE203" i="1" s="1"/>
  <c r="AD53" i="1" a="1"/>
  <c r="AD53" i="1" s="1"/>
  <c r="AE53" i="1" s="1"/>
  <c r="AD61" i="1" a="1"/>
  <c r="AD61" i="1" s="1"/>
  <c r="AE61" i="1" s="1"/>
  <c r="AD69" i="1" a="1"/>
  <c r="AD69" i="1" s="1"/>
  <c r="AE69" i="1" s="1"/>
  <c r="AD77" i="1" a="1"/>
  <c r="AD77" i="1" s="1"/>
  <c r="AE77" i="1" s="1"/>
  <c r="AD85" i="1" a="1"/>
  <c r="AD85" i="1" s="1"/>
  <c r="AE85" i="1" s="1"/>
  <c r="AD93" i="1" a="1"/>
  <c r="AD93" i="1" s="1"/>
  <c r="AE93" i="1" s="1"/>
  <c r="AD101" i="1" a="1"/>
  <c r="AD101" i="1" s="1"/>
  <c r="AE101" i="1" s="1"/>
  <c r="AD105" i="1" a="1"/>
  <c r="AD105" i="1" s="1"/>
  <c r="AE105" i="1" s="1"/>
  <c r="AD113" i="1" a="1"/>
  <c r="AD113" i="1" s="1"/>
  <c r="AE113" i="1" s="1"/>
  <c r="AD121" i="1" a="1"/>
  <c r="AD121" i="1" s="1"/>
  <c r="AE121" i="1" s="1"/>
  <c r="AD129" i="1" a="1"/>
  <c r="AD129" i="1" s="1"/>
  <c r="AE129" i="1" s="1"/>
  <c r="AD137" i="1" a="1"/>
  <c r="AD137" i="1" s="1"/>
  <c r="AE137" i="1" s="1"/>
  <c r="AD145" i="1" a="1"/>
  <c r="AD145" i="1" s="1"/>
  <c r="AE145" i="1" s="1"/>
  <c r="AD153" i="1" a="1"/>
  <c r="AD153" i="1" s="1"/>
  <c r="AE153" i="1" s="1"/>
  <c r="AD161" i="1" a="1"/>
  <c r="AD161" i="1" s="1"/>
  <c r="AE161" i="1" s="1"/>
  <c r="AD169" i="1" a="1"/>
  <c r="AD169" i="1" s="1"/>
  <c r="AE169" i="1" s="1"/>
  <c r="AD177" i="1" a="1"/>
  <c r="AD177" i="1" s="1"/>
  <c r="AE177" i="1" s="1"/>
  <c r="AD185" i="1" a="1"/>
  <c r="AD185" i="1" s="1"/>
  <c r="AE185" i="1" s="1"/>
  <c r="AD193" i="1" a="1"/>
  <c r="AD193" i="1" s="1"/>
  <c r="AE193" i="1" s="1"/>
  <c r="AD201" i="1" a="1"/>
  <c r="AD201" i="1" s="1"/>
  <c r="AE201" i="1" s="1"/>
  <c r="AD209" i="1" a="1"/>
  <c r="AD209" i="1" s="1"/>
  <c r="AE209" i="1" s="1"/>
  <c r="AD217" i="1" a="1"/>
  <c r="AD217" i="1" s="1"/>
  <c r="AE217" i="1" s="1"/>
  <c r="AD138" i="1" a="1"/>
  <c r="AD138" i="1" s="1"/>
  <c r="AE138" i="1" s="1"/>
  <c r="AD154" i="1" a="1"/>
  <c r="AD154" i="1" s="1"/>
  <c r="AE154" i="1" s="1"/>
  <c r="AD174" i="1" a="1"/>
  <c r="AD174" i="1" s="1"/>
  <c r="AE174" i="1" s="1"/>
  <c r="AD194" i="1" a="1"/>
  <c r="AD194" i="1" s="1"/>
  <c r="AE194" i="1" s="1"/>
  <c r="AD214" i="1" a="1"/>
  <c r="AD214" i="1" s="1"/>
  <c r="AE214" i="1" s="1"/>
  <c r="AD167" i="1" a="1"/>
  <c r="AD167" i="1" s="1"/>
  <c r="AE167" i="1" s="1"/>
  <c r="AD191" i="1" a="1"/>
  <c r="AD191" i="1" s="1"/>
  <c r="AE191" i="1" s="1"/>
  <c r="AD215" i="1" a="1"/>
  <c r="AD215" i="1" s="1"/>
  <c r="AE215" i="1" s="1"/>
  <c r="AD49" i="1" a="1"/>
  <c r="AD49" i="1" s="1"/>
  <c r="AE49" i="1" s="1"/>
  <c r="AD57" i="1" a="1"/>
  <c r="AD57" i="1" s="1"/>
  <c r="AE57" i="1" s="1"/>
  <c r="AD65" i="1" a="1"/>
  <c r="AD65" i="1" s="1"/>
  <c r="AE65" i="1" s="1"/>
  <c r="AD73" i="1" a="1"/>
  <c r="AD73" i="1" s="1"/>
  <c r="AE73" i="1" s="1"/>
  <c r="AD81" i="1" a="1"/>
  <c r="AD81" i="1" s="1"/>
  <c r="AE81" i="1" s="1"/>
  <c r="AD89" i="1" a="1"/>
  <c r="AD89" i="1" s="1"/>
  <c r="AE89" i="1" s="1"/>
  <c r="AD97" i="1" a="1"/>
  <c r="AD97" i="1" s="1"/>
  <c r="AE97" i="1" s="1"/>
  <c r="AD109" i="1" a="1"/>
  <c r="AD109" i="1" s="1"/>
  <c r="AE109" i="1" s="1"/>
  <c r="AD117" i="1" a="1"/>
  <c r="AD117" i="1" s="1"/>
  <c r="AE117" i="1" s="1"/>
  <c r="AD125" i="1" a="1"/>
  <c r="AD125" i="1" s="1"/>
  <c r="AE125" i="1" s="1"/>
  <c r="AD133" i="1" a="1"/>
  <c r="AD133" i="1" s="1"/>
  <c r="AE133" i="1" s="1"/>
  <c r="AD141" i="1" a="1"/>
  <c r="AD141" i="1" s="1"/>
  <c r="AE141" i="1" s="1"/>
  <c r="AD149" i="1" a="1"/>
  <c r="AD149" i="1" s="1"/>
  <c r="AE149" i="1" s="1"/>
  <c r="AD157" i="1" a="1"/>
  <c r="AD157" i="1" s="1"/>
  <c r="AE157" i="1" s="1"/>
  <c r="AD165" i="1" a="1"/>
  <c r="AD165" i="1" s="1"/>
  <c r="AE165" i="1" s="1"/>
  <c r="AD173" i="1" a="1"/>
  <c r="AD173" i="1" s="1"/>
  <c r="AE173" i="1" s="1"/>
  <c r="AD181" i="1" a="1"/>
  <c r="AD181" i="1" s="1"/>
  <c r="AE181" i="1" s="1"/>
  <c r="AD189" i="1" a="1"/>
  <c r="AD189" i="1" s="1"/>
  <c r="AE189" i="1" s="1"/>
  <c r="AD197" i="1" a="1"/>
  <c r="AD197" i="1" s="1"/>
  <c r="AE197" i="1" s="1"/>
  <c r="AD205" i="1" a="1"/>
  <c r="AD205" i="1" s="1"/>
  <c r="AE205" i="1" s="1"/>
  <c r="AD213" i="1" a="1"/>
  <c r="AD213" i="1" s="1"/>
  <c r="AE213" i="1" s="1"/>
  <c r="AD221" i="1" a="1"/>
  <c r="AD221" i="1" s="1"/>
  <c r="AE221" i="1" s="1"/>
  <c r="AD150" i="1" a="1"/>
  <c r="AD150" i="1" s="1"/>
  <c r="AE150" i="1" s="1"/>
  <c r="AD170" i="1" a="1"/>
  <c r="AD170" i="1" s="1"/>
  <c r="AE170" i="1" s="1"/>
  <c r="AD190" i="1" a="1"/>
  <c r="AD190" i="1" s="1"/>
  <c r="AE190" i="1" s="1"/>
  <c r="AD210" i="1" a="1"/>
  <c r="AD210" i="1" s="1"/>
  <c r="AE210" i="1" s="1"/>
  <c r="AD159" i="1" a="1"/>
  <c r="AD159" i="1" s="1"/>
  <c r="AE159" i="1" s="1"/>
  <c r="AD183" i="1" a="1"/>
  <c r="AD183" i="1" s="1"/>
  <c r="AE183" i="1" s="1"/>
  <c r="AD207" i="1" a="1"/>
  <c r="AD207" i="1" s="1"/>
  <c r="AE207" i="1" s="1"/>
  <c r="AD50" i="1" a="1"/>
  <c r="AD50" i="1" s="1"/>
  <c r="AE50" i="1" s="1"/>
  <c r="AD54" i="1" a="1"/>
  <c r="AD54" i="1" s="1"/>
  <c r="AD58" i="1" a="1"/>
  <c r="AD58" i="1" s="1"/>
  <c r="AE58" i="1" s="1"/>
  <c r="AD62" i="1" a="1"/>
  <c r="AD62" i="1" s="1"/>
  <c r="AE62" i="1" s="1"/>
  <c r="AD66" i="1" a="1"/>
  <c r="AD66" i="1" s="1"/>
  <c r="AE66" i="1" s="1"/>
  <c r="AD70" i="1" a="1"/>
  <c r="AD70" i="1" s="1"/>
  <c r="AE70" i="1" s="1"/>
  <c r="AD74" i="1" a="1"/>
  <c r="AD74" i="1" s="1"/>
  <c r="AE74" i="1" s="1"/>
  <c r="AD78" i="1" a="1"/>
  <c r="AD78" i="1" s="1"/>
  <c r="AE78" i="1" s="1"/>
  <c r="AD82" i="1" a="1"/>
  <c r="AD82" i="1" s="1"/>
  <c r="AE82" i="1" s="1"/>
  <c r="AD86" i="1" a="1"/>
  <c r="AD86" i="1" s="1"/>
  <c r="AE86" i="1" s="1"/>
  <c r="AD90" i="1" a="1"/>
  <c r="AD90" i="1" s="1"/>
  <c r="AE90" i="1" s="1"/>
  <c r="AD94" i="1" a="1"/>
  <c r="AD94" i="1" s="1"/>
  <c r="AE94" i="1" s="1"/>
  <c r="AD98" i="1" a="1"/>
  <c r="AD98" i="1" s="1"/>
  <c r="AE98" i="1" s="1"/>
  <c r="AD102" i="1" a="1"/>
  <c r="AD102" i="1" s="1"/>
  <c r="AD106" i="1" a="1"/>
  <c r="AD106" i="1" s="1"/>
  <c r="AE106" i="1" s="1"/>
  <c r="AD110" i="1" a="1"/>
  <c r="AD110" i="1" s="1"/>
  <c r="AE110" i="1" s="1"/>
  <c r="AD114" i="1" a="1"/>
  <c r="AD114" i="1" s="1"/>
  <c r="AE114" i="1" s="1"/>
  <c r="AD118" i="1" a="1"/>
  <c r="AD118" i="1" s="1"/>
  <c r="AE118" i="1" s="1"/>
  <c r="AD122" i="1" a="1"/>
  <c r="AD122" i="1" s="1"/>
  <c r="AE122" i="1" s="1"/>
  <c r="AD126" i="1" a="1"/>
  <c r="AD126" i="1" s="1"/>
  <c r="AE126" i="1" s="1"/>
  <c r="AD130" i="1" a="1"/>
  <c r="AD130" i="1" s="1"/>
  <c r="AE130" i="1" s="1"/>
  <c r="AD134" i="1" a="1"/>
  <c r="AD134" i="1" s="1"/>
  <c r="AE134" i="1" s="1"/>
  <c r="AD142" i="1" a="1"/>
  <c r="AD142" i="1" s="1"/>
  <c r="AE142" i="1" s="1"/>
  <c r="AD162" i="1" a="1"/>
  <c r="AD162" i="1" s="1"/>
  <c r="AE162" i="1" s="1"/>
  <c r="AD182" i="1" a="1"/>
  <c r="AD182" i="1" s="1"/>
  <c r="AE182" i="1" s="1"/>
  <c r="AD202" i="1" a="1"/>
  <c r="AD202" i="1" s="1"/>
  <c r="AE202" i="1" s="1"/>
  <c r="AD222" i="1" a="1"/>
  <c r="AD222" i="1" s="1"/>
  <c r="AE222" i="1" s="1"/>
  <c r="AD175" i="1" a="1"/>
  <c r="AD175" i="1" s="1"/>
  <c r="AE175" i="1" s="1"/>
  <c r="AD199" i="1" a="1"/>
  <c r="AD199" i="1" s="1"/>
  <c r="AE199" i="1" s="1"/>
  <c r="AD219" i="1" a="1"/>
  <c r="AD219" i="1" s="1"/>
  <c r="AE219" i="1" s="1"/>
  <c r="AD46" i="1" a="1"/>
  <c r="AD46" i="1" s="1"/>
  <c r="AE46" i="1" s="1"/>
  <c r="AJ41" i="1" l="1"/>
  <c r="B27" i="7"/>
  <c r="AF40" i="1"/>
  <c r="J6" i="3" s="1"/>
  <c r="AI40" i="1"/>
  <c r="AB40" i="1" s="1"/>
  <c r="AH40" i="1"/>
  <c r="J9" i="3" s="1"/>
  <c r="AJ40" i="1"/>
  <c r="T40" i="1" s="1"/>
  <c r="B8" i="7" s="1"/>
  <c r="B6" i="7"/>
  <c r="J5" i="3"/>
  <c r="AG40" i="1"/>
  <c r="J7" i="3" s="1"/>
  <c r="D14" i="3" s="1"/>
  <c r="AE54" i="1"/>
  <c r="AC40" i="1"/>
  <c r="B9" i="7"/>
  <c r="D143" i="3"/>
  <c r="D142" i="3"/>
  <c r="D141" i="3"/>
  <c r="D145" i="3"/>
  <c r="D144" i="3"/>
  <c r="E144" i="3"/>
  <c r="E143" i="3"/>
  <c r="E142" i="3"/>
  <c r="E141" i="3"/>
  <c r="E145" i="3"/>
  <c r="E138" i="3"/>
  <c r="E136" i="3"/>
  <c r="E139" i="3"/>
  <c r="E140" i="3"/>
  <c r="E137" i="3"/>
  <c r="D139" i="3"/>
  <c r="D140" i="3"/>
  <c r="D136" i="3"/>
  <c r="D138" i="3"/>
  <c r="D137" i="3"/>
  <c r="D135" i="3"/>
  <c r="D121" i="3"/>
  <c r="D119" i="3"/>
  <c r="D114" i="3"/>
  <c r="D134" i="3"/>
  <c r="D125" i="3"/>
  <c r="D105" i="3"/>
  <c r="D100" i="3"/>
  <c r="D132" i="3"/>
  <c r="D112" i="3"/>
  <c r="D122" i="3"/>
  <c r="D106" i="3"/>
  <c r="D129" i="3"/>
  <c r="D124" i="3"/>
  <c r="D131" i="3"/>
  <c r="D110" i="3"/>
  <c r="D101" i="3"/>
  <c r="D126" i="3"/>
  <c r="D103" i="3"/>
  <c r="D127" i="3"/>
  <c r="D115" i="3"/>
  <c r="D120" i="3"/>
  <c r="D102" i="3"/>
  <c r="D128" i="3"/>
  <c r="D111" i="3"/>
  <c r="D123" i="3"/>
  <c r="D104" i="3"/>
  <c r="D109" i="3"/>
  <c r="D113" i="3"/>
  <c r="D117" i="3"/>
  <c r="D116" i="3"/>
  <c r="D107" i="3"/>
  <c r="D118" i="3"/>
  <c r="D130" i="3"/>
  <c r="D133" i="3"/>
  <c r="D108" i="3"/>
  <c r="E135" i="3"/>
  <c r="E120" i="3"/>
  <c r="E121" i="3"/>
  <c r="E122" i="3"/>
  <c r="E123" i="3"/>
  <c r="E127" i="3"/>
  <c r="E109" i="3"/>
  <c r="E124" i="3"/>
  <c r="E100" i="3"/>
  <c r="E117" i="3"/>
  <c r="E114" i="3"/>
  <c r="E131" i="3"/>
  <c r="E106" i="3"/>
  <c r="E105" i="3"/>
  <c r="E130" i="3"/>
  <c r="E101" i="3"/>
  <c r="E111" i="3"/>
  <c r="E115" i="3"/>
  <c r="E133" i="3"/>
  <c r="E118" i="3"/>
  <c r="E125" i="3"/>
  <c r="E129" i="3"/>
  <c r="E134" i="3"/>
  <c r="E102" i="3"/>
  <c r="E119" i="3"/>
  <c r="E112" i="3"/>
  <c r="E116" i="3"/>
  <c r="E104" i="3"/>
  <c r="E132" i="3"/>
  <c r="E126" i="3"/>
  <c r="E108" i="3"/>
  <c r="E110" i="3"/>
  <c r="E128" i="3"/>
  <c r="E113" i="3"/>
  <c r="E103" i="3"/>
  <c r="E107" i="3"/>
  <c r="D80" i="3"/>
  <c r="D76" i="3"/>
  <c r="D90" i="3"/>
  <c r="D91" i="3"/>
  <c r="D77" i="3"/>
  <c r="D79" i="3"/>
  <c r="D98" i="3"/>
  <c r="D92" i="3"/>
  <c r="D88" i="3"/>
  <c r="D84" i="3"/>
  <c r="D94" i="3"/>
  <c r="D89" i="3"/>
  <c r="D83" i="3"/>
  <c r="D93" i="3"/>
  <c r="D95" i="3"/>
  <c r="D85" i="3"/>
  <c r="D99" i="3"/>
  <c r="D87" i="3"/>
  <c r="D97" i="3"/>
  <c r="D82" i="3"/>
  <c r="D96" i="3"/>
  <c r="D81" i="3"/>
  <c r="D78" i="3"/>
  <c r="D86" i="3"/>
  <c r="E85" i="3"/>
  <c r="E84" i="3"/>
  <c r="E82" i="3"/>
  <c r="E77" i="3"/>
  <c r="E94" i="3"/>
  <c r="E80" i="3"/>
  <c r="E93" i="3"/>
  <c r="E98" i="3"/>
  <c r="E89" i="3"/>
  <c r="E88" i="3"/>
  <c r="E83" i="3"/>
  <c r="E87" i="3"/>
  <c r="E86" i="3"/>
  <c r="E99" i="3"/>
  <c r="E79" i="3"/>
  <c r="E78" i="3"/>
  <c r="E81" i="3"/>
  <c r="E91" i="3"/>
  <c r="E76" i="3"/>
  <c r="E92" i="3"/>
  <c r="E96" i="3"/>
  <c r="E90" i="3"/>
  <c r="E95" i="3"/>
  <c r="E97" i="3"/>
  <c r="AE102" i="1"/>
  <c r="E74" i="3"/>
  <c r="E71" i="3"/>
  <c r="E75" i="3"/>
  <c r="E72" i="3"/>
  <c r="E73" i="3"/>
  <c r="D72" i="3"/>
  <c r="D71" i="3"/>
  <c r="D74" i="3"/>
  <c r="D75" i="3"/>
  <c r="D73" i="3"/>
  <c r="B28" i="7" l="1"/>
  <c r="X40" i="1"/>
  <c r="AA40" i="1"/>
  <c r="W40" i="1" s="1"/>
  <c r="J8" i="3"/>
  <c r="E51" i="3" s="1"/>
  <c r="D21" i="3"/>
  <c r="D66" i="3"/>
  <c r="D69" i="3"/>
  <c r="D61" i="3"/>
  <c r="D43" i="3"/>
  <c r="D44" i="3"/>
  <c r="D56" i="3"/>
  <c r="D47" i="3"/>
  <c r="D58" i="3"/>
  <c r="D42" i="3"/>
  <c r="D50" i="3"/>
  <c r="D48" i="3"/>
  <c r="D57" i="3"/>
  <c r="D60" i="3"/>
  <c r="D53" i="3"/>
  <c r="D40" i="3"/>
  <c r="D31" i="3"/>
  <c r="D22" i="3"/>
  <c r="D37" i="3"/>
  <c r="D32" i="3"/>
  <c r="D36" i="3"/>
  <c r="D20" i="3"/>
  <c r="D18" i="3"/>
  <c r="D62" i="3"/>
  <c r="D54" i="3"/>
  <c r="D19" i="3"/>
  <c r="D17" i="3"/>
  <c r="D34" i="3"/>
  <c r="D41" i="3"/>
  <c r="D29" i="3"/>
  <c r="D51" i="3"/>
  <c r="D65" i="3"/>
  <c r="D38" i="3"/>
  <c r="D35" i="3"/>
  <c r="D39" i="3"/>
  <c r="E42" i="3"/>
  <c r="D28" i="3"/>
  <c r="D67" i="3"/>
  <c r="D25" i="3"/>
  <c r="D49" i="3"/>
  <c r="D16" i="3"/>
  <c r="D27" i="3"/>
  <c r="D45" i="3"/>
  <c r="D59" i="3"/>
  <c r="D26" i="3"/>
  <c r="D46" i="3"/>
  <c r="D70" i="3"/>
  <c r="D33" i="3"/>
  <c r="D55" i="3"/>
  <c r="E45" i="3"/>
  <c r="D63" i="3"/>
  <c r="D52" i="3"/>
  <c r="D24" i="3"/>
  <c r="D30" i="3"/>
  <c r="D23" i="3"/>
  <c r="D64" i="3"/>
  <c r="D68" i="3"/>
  <c r="E43" i="3"/>
  <c r="V40" i="1"/>
  <c r="Z40" i="1" s="1"/>
  <c r="D11" i="3"/>
  <c r="D3" i="3" s="1"/>
  <c r="D4" i="3" s="1"/>
  <c r="D12" i="3"/>
  <c r="D15" i="3"/>
  <c r="D13" i="3"/>
  <c r="Y40" i="1"/>
  <c r="U40" i="1" s="1"/>
  <c r="AD40" i="1"/>
  <c r="AE40" i="1" s="1"/>
  <c r="F141" i="3"/>
  <c r="F145" i="3"/>
  <c r="F144" i="3"/>
  <c r="F143" i="3"/>
  <c r="F142" i="3"/>
  <c r="C145" i="3"/>
  <c r="G145" i="3" s="1"/>
  <c r="C142" i="3"/>
  <c r="G142" i="3" s="1"/>
  <c r="C143" i="3"/>
  <c r="G143" i="3" s="1"/>
  <c r="C141" i="3"/>
  <c r="G141" i="3" s="1"/>
  <c r="C144" i="3"/>
  <c r="G144" i="3" s="1"/>
  <c r="C140" i="3"/>
  <c r="G140" i="3" s="1"/>
  <c r="C139" i="3"/>
  <c r="G139" i="3" s="1"/>
  <c r="C138" i="3"/>
  <c r="G138" i="3" s="1"/>
  <c r="C136" i="3"/>
  <c r="G136" i="3" s="1"/>
  <c r="C137" i="3"/>
  <c r="G137" i="3" s="1"/>
  <c r="F138" i="3"/>
  <c r="F136" i="3"/>
  <c r="F139" i="3"/>
  <c r="F137" i="3"/>
  <c r="F140" i="3"/>
  <c r="F13" i="3"/>
  <c r="F11" i="3"/>
  <c r="F14" i="3"/>
  <c r="F15" i="3"/>
  <c r="F12" i="3"/>
  <c r="C13" i="3"/>
  <c r="G13" i="3" s="1"/>
  <c r="C11" i="3"/>
  <c r="C12" i="3"/>
  <c r="G12" i="3" s="1"/>
  <c r="C15" i="3"/>
  <c r="G15" i="3" s="1"/>
  <c r="C14" i="3"/>
  <c r="G14" i="3" s="1"/>
  <c r="C124" i="3"/>
  <c r="G124" i="3" s="1"/>
  <c r="C116" i="3"/>
  <c r="G116" i="3" s="1"/>
  <c r="C135" i="3"/>
  <c r="G135" i="3" s="1"/>
  <c r="C125" i="3"/>
  <c r="G125" i="3" s="1"/>
  <c r="C115" i="3"/>
  <c r="G115" i="3" s="1"/>
  <c r="C130" i="3"/>
  <c r="G130" i="3" s="1"/>
  <c r="C103" i="3"/>
  <c r="G103" i="3" s="1"/>
  <c r="C100" i="3"/>
  <c r="G100" i="3" s="1"/>
  <c r="C101" i="3"/>
  <c r="G101" i="3" s="1"/>
  <c r="C110" i="3"/>
  <c r="G110" i="3" s="1"/>
  <c r="C121" i="3"/>
  <c r="G121" i="3" s="1"/>
  <c r="C113" i="3"/>
  <c r="G113" i="3" s="1"/>
  <c r="C134" i="3"/>
  <c r="G134" i="3" s="1"/>
  <c r="C102" i="3"/>
  <c r="G102" i="3" s="1"/>
  <c r="C127" i="3"/>
  <c r="G127" i="3" s="1"/>
  <c r="C107" i="3"/>
  <c r="G107" i="3" s="1"/>
  <c r="C118" i="3"/>
  <c r="G118" i="3" s="1"/>
  <c r="C105" i="3"/>
  <c r="G105" i="3" s="1"/>
  <c r="C123" i="3"/>
  <c r="G123" i="3" s="1"/>
  <c r="C114" i="3"/>
  <c r="G114" i="3" s="1"/>
  <c r="C108" i="3"/>
  <c r="G108" i="3" s="1"/>
  <c r="C131" i="3"/>
  <c r="G131" i="3" s="1"/>
  <c r="C119" i="3"/>
  <c r="G119" i="3" s="1"/>
  <c r="C133" i="3"/>
  <c r="G133" i="3" s="1"/>
  <c r="C117" i="3"/>
  <c r="G117" i="3" s="1"/>
  <c r="C132" i="3"/>
  <c r="G132" i="3" s="1"/>
  <c r="C120" i="3"/>
  <c r="G120" i="3" s="1"/>
  <c r="C106" i="3"/>
  <c r="G106" i="3" s="1"/>
  <c r="C111" i="3"/>
  <c r="G111" i="3" s="1"/>
  <c r="C109" i="3"/>
  <c r="G109" i="3" s="1"/>
  <c r="C129" i="3"/>
  <c r="G129" i="3" s="1"/>
  <c r="C104" i="3"/>
  <c r="G104" i="3" s="1"/>
  <c r="C126" i="3"/>
  <c r="G126" i="3" s="1"/>
  <c r="C122" i="3"/>
  <c r="G122" i="3" s="1"/>
  <c r="C128" i="3"/>
  <c r="G128" i="3" s="1"/>
  <c r="C112" i="3"/>
  <c r="G112" i="3" s="1"/>
  <c r="F114" i="3"/>
  <c r="F107" i="3"/>
  <c r="F115" i="3"/>
  <c r="F128" i="3"/>
  <c r="F118" i="3"/>
  <c r="F106" i="3"/>
  <c r="F121" i="3"/>
  <c r="F126" i="3"/>
  <c r="F124" i="3"/>
  <c r="F100" i="3"/>
  <c r="F120" i="3"/>
  <c r="F101" i="3"/>
  <c r="F102" i="3"/>
  <c r="F103" i="3"/>
  <c r="F130" i="3"/>
  <c r="F125" i="3"/>
  <c r="F112" i="3"/>
  <c r="F122" i="3"/>
  <c r="F123" i="3"/>
  <c r="F109" i="3"/>
  <c r="F111" i="3"/>
  <c r="F117" i="3"/>
  <c r="F127" i="3"/>
  <c r="F135" i="3"/>
  <c r="F119" i="3"/>
  <c r="F113" i="3"/>
  <c r="F110" i="3"/>
  <c r="F104" i="3"/>
  <c r="F133" i="3"/>
  <c r="F129" i="3"/>
  <c r="F116" i="3"/>
  <c r="F108" i="3"/>
  <c r="F132" i="3"/>
  <c r="F131" i="3"/>
  <c r="F134" i="3"/>
  <c r="F105" i="3"/>
  <c r="C96" i="3"/>
  <c r="G96" i="3" s="1"/>
  <c r="C85" i="3"/>
  <c r="G85" i="3" s="1"/>
  <c r="C78" i="3"/>
  <c r="G78" i="3" s="1"/>
  <c r="C82" i="3"/>
  <c r="G82" i="3" s="1"/>
  <c r="C99" i="3"/>
  <c r="G99" i="3" s="1"/>
  <c r="C79" i="3"/>
  <c r="G79" i="3" s="1"/>
  <c r="C76" i="3"/>
  <c r="G76" i="3" s="1"/>
  <c r="C81" i="3"/>
  <c r="G81" i="3" s="1"/>
  <c r="C88" i="3"/>
  <c r="G88" i="3" s="1"/>
  <c r="C93" i="3"/>
  <c r="G93" i="3" s="1"/>
  <c r="C97" i="3"/>
  <c r="G97" i="3" s="1"/>
  <c r="C90" i="3"/>
  <c r="G90" i="3" s="1"/>
  <c r="C80" i="3"/>
  <c r="G80" i="3" s="1"/>
  <c r="C95" i="3"/>
  <c r="G95" i="3" s="1"/>
  <c r="C98" i="3"/>
  <c r="G98" i="3" s="1"/>
  <c r="C77" i="3"/>
  <c r="G77" i="3" s="1"/>
  <c r="C87" i="3"/>
  <c r="G87" i="3" s="1"/>
  <c r="C86" i="3"/>
  <c r="G86" i="3" s="1"/>
  <c r="C84" i="3"/>
  <c r="G84" i="3" s="1"/>
  <c r="C92" i="3"/>
  <c r="G92" i="3" s="1"/>
  <c r="C94" i="3"/>
  <c r="G94" i="3" s="1"/>
  <c r="C89" i="3"/>
  <c r="G89" i="3" s="1"/>
  <c r="C83" i="3"/>
  <c r="G83" i="3" s="1"/>
  <c r="C91" i="3"/>
  <c r="G91" i="3" s="1"/>
  <c r="F79" i="3"/>
  <c r="F78" i="3"/>
  <c r="F77" i="3"/>
  <c r="F92" i="3"/>
  <c r="F95" i="3"/>
  <c r="F96" i="3"/>
  <c r="F98" i="3"/>
  <c r="F86" i="3"/>
  <c r="F80" i="3"/>
  <c r="F93" i="3"/>
  <c r="F90" i="3"/>
  <c r="F82" i="3"/>
  <c r="F99" i="3"/>
  <c r="F97" i="3"/>
  <c r="F89" i="3"/>
  <c r="F94" i="3"/>
  <c r="F87" i="3"/>
  <c r="F81" i="3"/>
  <c r="F91" i="3"/>
  <c r="F88" i="3"/>
  <c r="F85" i="3"/>
  <c r="F83" i="3"/>
  <c r="F76" i="3"/>
  <c r="F84" i="3"/>
  <c r="C66" i="3"/>
  <c r="G66" i="3" s="1"/>
  <c r="C29" i="3"/>
  <c r="G29" i="3" s="1"/>
  <c r="C25" i="3"/>
  <c r="G25" i="3" s="1"/>
  <c r="C55" i="3"/>
  <c r="G55" i="3" s="1"/>
  <c r="C32" i="3"/>
  <c r="G32" i="3" s="1"/>
  <c r="C31" i="3"/>
  <c r="G31" i="3" s="1"/>
  <c r="C39" i="3"/>
  <c r="G39" i="3" s="1"/>
  <c r="C44" i="3"/>
  <c r="G44" i="3" s="1"/>
  <c r="C75" i="3"/>
  <c r="G75" i="3" s="1"/>
  <c r="C18" i="3"/>
  <c r="G18" i="3" s="1"/>
  <c r="C17" i="3"/>
  <c r="G17" i="3" s="1"/>
  <c r="C72" i="3"/>
  <c r="G72" i="3" s="1"/>
  <c r="C68" i="3"/>
  <c r="G68" i="3" s="1"/>
  <c r="C56" i="3"/>
  <c r="G56" i="3" s="1"/>
  <c r="C16" i="3"/>
  <c r="C52" i="3"/>
  <c r="G52" i="3" s="1"/>
  <c r="C28" i="3"/>
  <c r="G28" i="3" s="1"/>
  <c r="C37" i="3"/>
  <c r="G37" i="3" s="1"/>
  <c r="C22" i="3"/>
  <c r="G22" i="3" s="1"/>
  <c r="C51" i="3"/>
  <c r="G51" i="3" s="1"/>
  <c r="C74" i="3"/>
  <c r="G74" i="3" s="1"/>
  <c r="C19" i="3"/>
  <c r="G19" i="3" s="1"/>
  <c r="C62" i="3"/>
  <c r="G62" i="3" s="1"/>
  <c r="C60" i="3"/>
  <c r="G60" i="3" s="1"/>
  <c r="C54" i="3"/>
  <c r="G54" i="3" s="1"/>
  <c r="C20" i="3"/>
  <c r="G20" i="3" s="1"/>
  <c r="C59" i="3"/>
  <c r="G59" i="3" s="1"/>
  <c r="C61" i="3"/>
  <c r="G61" i="3" s="1"/>
  <c r="C26" i="3"/>
  <c r="G26" i="3" s="1"/>
  <c r="C45" i="3"/>
  <c r="G45" i="3" s="1"/>
  <c r="C50" i="3"/>
  <c r="G50" i="3" s="1"/>
  <c r="C49" i="3"/>
  <c r="G49" i="3" s="1"/>
  <c r="C23" i="3"/>
  <c r="G23" i="3" s="1"/>
  <c r="C30" i="3"/>
  <c r="G30" i="3" s="1"/>
  <c r="C69" i="3"/>
  <c r="G69" i="3" s="1"/>
  <c r="C43" i="3"/>
  <c r="G43" i="3" s="1"/>
  <c r="C47" i="3"/>
  <c r="G47" i="3" s="1"/>
  <c r="C48" i="3"/>
  <c r="G48" i="3" s="1"/>
  <c r="C57" i="3"/>
  <c r="G57" i="3" s="1"/>
  <c r="C46" i="3"/>
  <c r="G46" i="3" s="1"/>
  <c r="C67" i="3"/>
  <c r="G67" i="3" s="1"/>
  <c r="C63" i="3"/>
  <c r="G63" i="3" s="1"/>
  <c r="C70" i="3"/>
  <c r="G70" i="3" s="1"/>
  <c r="C33" i="3"/>
  <c r="G33" i="3" s="1"/>
  <c r="C35" i="3"/>
  <c r="G35" i="3" s="1"/>
  <c r="C34" i="3"/>
  <c r="G34" i="3" s="1"/>
  <c r="C36" i="3"/>
  <c r="G36" i="3" s="1"/>
  <c r="C24" i="3"/>
  <c r="G24" i="3" s="1"/>
  <c r="C64" i="3"/>
  <c r="G64" i="3" s="1"/>
  <c r="C41" i="3"/>
  <c r="G41" i="3" s="1"/>
  <c r="C27" i="3"/>
  <c r="G27" i="3" s="1"/>
  <c r="C58" i="3"/>
  <c r="G58" i="3" s="1"/>
  <c r="C65" i="3"/>
  <c r="G65" i="3" s="1"/>
  <c r="C38" i="3"/>
  <c r="G38" i="3" s="1"/>
  <c r="C40" i="3"/>
  <c r="G40" i="3" s="1"/>
  <c r="C42" i="3"/>
  <c r="G42" i="3" s="1"/>
  <c r="C21" i="3"/>
  <c r="G21" i="3" s="1"/>
  <c r="C71" i="3"/>
  <c r="G71" i="3" s="1"/>
  <c r="C53" i="3"/>
  <c r="G53" i="3" s="1"/>
  <c r="C73" i="3"/>
  <c r="G73" i="3" s="1"/>
  <c r="F28" i="3"/>
  <c r="F51" i="3"/>
  <c r="F70" i="3"/>
  <c r="F48" i="3"/>
  <c r="F17" i="3"/>
  <c r="F42" i="3"/>
  <c r="F74" i="3"/>
  <c r="F34" i="3"/>
  <c r="F73" i="3"/>
  <c r="F46" i="3"/>
  <c r="F26" i="3"/>
  <c r="F16" i="3"/>
  <c r="F72" i="3"/>
  <c r="F29" i="3"/>
  <c r="F30" i="3"/>
  <c r="F27" i="3"/>
  <c r="F65" i="3"/>
  <c r="F66" i="3"/>
  <c r="F22" i="3"/>
  <c r="F32" i="3"/>
  <c r="F69" i="3"/>
  <c r="F23" i="3"/>
  <c r="F60" i="3"/>
  <c r="F25" i="3"/>
  <c r="F54" i="3"/>
  <c r="F19" i="3"/>
  <c r="F39" i="3"/>
  <c r="F45" i="3"/>
  <c r="F55" i="3"/>
  <c r="F20" i="3"/>
  <c r="F52" i="3"/>
  <c r="F38" i="3"/>
  <c r="F56" i="3"/>
  <c r="F75" i="3"/>
  <c r="F21" i="3"/>
  <c r="F63" i="3"/>
  <c r="F44" i="3"/>
  <c r="F53" i="3"/>
  <c r="F33" i="3"/>
  <c r="F47" i="3"/>
  <c r="F64" i="3"/>
  <c r="F49" i="3"/>
  <c r="F40" i="3"/>
  <c r="F31" i="3"/>
  <c r="F43" i="3"/>
  <c r="F50" i="3"/>
  <c r="F58" i="3"/>
  <c r="F61" i="3"/>
  <c r="F59" i="3"/>
  <c r="F18" i="3"/>
  <c r="F36" i="3"/>
  <c r="F62" i="3"/>
  <c r="F68" i="3"/>
  <c r="F24" i="3"/>
  <c r="F67" i="3"/>
  <c r="F37" i="3"/>
  <c r="F35" i="3"/>
  <c r="F41" i="3"/>
  <c r="F57" i="3"/>
  <c r="F71" i="3"/>
  <c r="E50" i="3" l="1"/>
  <c r="E55" i="3"/>
  <c r="E29" i="3"/>
  <c r="E23" i="3"/>
  <c r="E19" i="3"/>
  <c r="E18" i="3"/>
  <c r="E36" i="3"/>
  <c r="E60" i="3"/>
  <c r="E63" i="3"/>
  <c r="E24" i="3"/>
  <c r="E47" i="3"/>
  <c r="E48" i="3"/>
  <c r="E49" i="3"/>
  <c r="E26" i="3"/>
  <c r="E59" i="3"/>
  <c r="E39" i="3"/>
  <c r="E15" i="3"/>
  <c r="E28" i="3"/>
  <c r="E46" i="3"/>
  <c r="E65" i="3"/>
  <c r="E33" i="3"/>
  <c r="E62" i="3"/>
  <c r="E35" i="3"/>
  <c r="E27" i="3"/>
  <c r="E38" i="3"/>
  <c r="E22" i="3"/>
  <c r="E17" i="3"/>
  <c r="E57" i="3"/>
  <c r="E61" i="3"/>
  <c r="E54" i="3"/>
  <c r="E34" i="3"/>
  <c r="E67" i="3"/>
  <c r="E25" i="3"/>
  <c r="E32" i="3"/>
  <c r="E41" i="3"/>
  <c r="E70" i="3"/>
  <c r="E69" i="3"/>
  <c r="E64" i="3"/>
  <c r="E31" i="3"/>
  <c r="E14" i="3"/>
  <c r="E16" i="3"/>
  <c r="E20" i="3"/>
  <c r="E12" i="3"/>
  <c r="E21" i="3"/>
  <c r="E30" i="3"/>
  <c r="E11" i="3"/>
  <c r="E66" i="3"/>
  <c r="E37" i="3"/>
  <c r="E40" i="3"/>
  <c r="E68" i="3"/>
  <c r="E44" i="3"/>
  <c r="F3" i="3"/>
  <c r="F4" i="3" s="1"/>
  <c r="G11" i="3"/>
  <c r="C3" i="3"/>
  <c r="C4" i="3" s="1"/>
  <c r="E13" i="3"/>
  <c r="E58" i="3"/>
  <c r="E56" i="3"/>
  <c r="E53" i="3"/>
  <c r="E52" i="3"/>
  <c r="G16" i="3"/>
  <c r="E3" i="3" l="1"/>
  <c r="E4" i="3" s="1"/>
  <c r="G3" i="3"/>
  <c r="G4" i="3" s="1"/>
  <c r="E5" i="3" l="1"/>
  <c r="AN40" i="1" s="1"/>
  <c r="B32" i="7" s="1"/>
  <c r="D5" i="3"/>
  <c r="AL40" i="1" s="1"/>
  <c r="F5" i="3"/>
  <c r="AM40" i="1" s="1"/>
  <c r="G5" i="3"/>
  <c r="C5" i="3"/>
  <c r="AK4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<sst xmlns="http://schemas.openxmlformats.org/spreadsheetml/2006/main" count="290" uniqueCount="164">
  <si>
    <t>LANCER L'IMPRESSION DU PDF</t>
  </si>
  <si>
    <t>SIMULATEUR PLV</t>
  </si>
  <si>
    <t>Nom du produit *</t>
  </si>
  <si>
    <t>Dream Forever</t>
  </si>
  <si>
    <t xml:space="preserve">* Caractères interdits / \ : ? " &gt; &lt; | </t>
  </si>
  <si>
    <t xml:space="preserve">Précision sur le produit </t>
  </si>
  <si>
    <t>Ensemble Matelas et sommier TPR 2X100X200cm</t>
  </si>
  <si>
    <t xml:space="preserve">               </t>
  </si>
  <si>
    <r>
      <t xml:space="preserve">Montant du produit </t>
    </r>
    <r>
      <rPr>
        <sz val="12"/>
        <rFont val="Century Gothic"/>
        <family val="2"/>
      </rPr>
      <t xml:space="preserve"> (avec Eco participation)</t>
    </r>
  </si>
  <si>
    <t>dont Eco participation</t>
  </si>
  <si>
    <t>Choix d'offre</t>
  </si>
  <si>
    <t>5 X gratuit</t>
  </si>
  <si>
    <t>Durée</t>
  </si>
  <si>
    <t>Tarification</t>
  </si>
  <si>
    <t xml:space="preserve">Raison Sociale </t>
  </si>
  <si>
    <t>But International</t>
  </si>
  <si>
    <t>RCS</t>
  </si>
  <si>
    <t>Ville RCS</t>
  </si>
  <si>
    <t>Meaux</t>
  </si>
  <si>
    <t>Adresse siège social</t>
  </si>
  <si>
    <t>1 avenue Spinoza 77184 Emerainville</t>
  </si>
  <si>
    <t>Orias</t>
  </si>
  <si>
    <t>Type</t>
  </si>
  <si>
    <t>exclusif</t>
  </si>
  <si>
    <t>non-exclusif</t>
  </si>
  <si>
    <t>&lt;&lt;&lt; pour mettre à jour les infos partenaire si franchisé</t>
  </si>
  <si>
    <t>Sous réserve d’étude et d'acceptation du dossier par BNP Paribas Personal Finance. Cetelem est une marque de BNP Paribas Personal Finance S.A au capital de 634 574 115 € - 542 097 902 RCS Paris - Siège social : 1 bd Haussmann 75 009 Paris. N° Orias : 07 023 128 (www.orias.fr). Vous disposez d’un droit de rétractation.</t>
  </si>
  <si>
    <t>LET(offer;Simulateur!D14;amt;Simulateur!D8;mask;(gamme!B3:B67=offer)*(gamme!C3:C67&lt;=amt)*(amt&lt;=gamme!D3:D67);SIERREUR(MIN(FILTRE(gamme!H3:H67;mask));"pas de proposition"))</t>
  </si>
  <si>
    <t>Montant</t>
  </si>
  <si>
    <t xml:space="preserve">TAEG REF STE </t>
  </si>
  <si>
    <t>TAEG REF Client</t>
  </si>
  <si>
    <t>Mini</t>
  </si>
  <si>
    <t>Maxi</t>
  </si>
  <si>
    <t>TDF REF</t>
  </si>
  <si>
    <t>TAEG REF</t>
  </si>
  <si>
    <t>TDF CLIENT</t>
  </si>
  <si>
    <t>TAEG CLIENT</t>
  </si>
  <si>
    <t>Lexique</t>
  </si>
  <si>
    <t>XXXXXXX</t>
  </si>
  <si>
    <t>Cellules MODIFIABLES</t>
  </si>
  <si>
    <t>XXXXXX</t>
  </si>
  <si>
    <t>Cellules NON MODIFIABLES</t>
  </si>
  <si>
    <t>Données pour calculs
ADE - Convention 2822/728 - MEP102025</t>
  </si>
  <si>
    <t>Zones de calculs</t>
  </si>
  <si>
    <t>DUREE</t>
  </si>
  <si>
    <t>TDF</t>
  </si>
  <si>
    <t>ASSURANCES</t>
  </si>
  <si>
    <t>MINI</t>
  </si>
  <si>
    <t>MAXI</t>
  </si>
  <si>
    <t>Bornes</t>
  </si>
  <si>
    <t>D</t>
  </si>
  <si>
    <t>DB</t>
  </si>
  <si>
    <t>DIM</t>
  </si>
  <si>
    <t>DIMC</t>
  </si>
  <si>
    <t>MONTANT</t>
  </si>
  <si>
    <t>Année 
en cours</t>
  </si>
  <si>
    <t>Age du 
client</t>
  </si>
  <si>
    <t>Age Mini
souscription</t>
  </si>
  <si>
    <t>Frais de 
dossier</t>
  </si>
  <si>
    <t>1ère 
échéance à</t>
  </si>
  <si>
    <t>ADE</t>
  </si>
  <si>
    <t>Age Mini</t>
  </si>
  <si>
    <t>Age Maxi</t>
  </si>
  <si>
    <t>ADE =</t>
  </si>
  <si>
    <t>Mens MINI</t>
  </si>
  <si>
    <t>ADE non
autorisée =</t>
  </si>
  <si>
    <t>mini DIMC</t>
  </si>
  <si>
    <t>KO</t>
  </si>
  <si>
    <t>B</t>
  </si>
  <si>
    <t>Durée Maxi DB</t>
  </si>
  <si>
    <t>SI(OU($S$40="";$E$30=$G$30);"";SI($R$40&lt;$U$15;$S$40;(ARRONDI($S$40*(1+RECHERCHE($R$40;$U$15:$U$22;$V$15:$V$22));2))))</t>
  </si>
  <si>
    <t>Montant 
financé par 
le crédit</t>
  </si>
  <si>
    <t>Recherche du TDF</t>
  </si>
  <si>
    <t>Bon
TDF</t>
  </si>
  <si>
    <t>Taux
Annuel
Effectif
Global</t>
  </si>
  <si>
    <t>Montant 
total du
crédit</t>
  </si>
  <si>
    <t>Montant 
du crédit</t>
  </si>
  <si>
    <t>Découvert
Actualisé</t>
  </si>
  <si>
    <t>Coefficient 
de report</t>
  </si>
  <si>
    <t>Durée du contrat
de crédit</t>
  </si>
  <si>
    <t>Taux 
Débiteur
Fixe</t>
  </si>
  <si>
    <t>Frais
de
dossier</t>
  </si>
  <si>
    <t>1ère
échéance
à</t>
  </si>
  <si>
    <t>Nombre
échéances</t>
  </si>
  <si>
    <t>Montant
des
échéances</t>
  </si>
  <si>
    <t>Montant 
total dû</t>
  </si>
  <si>
    <t>Coût total 
de l'assurance</t>
  </si>
  <si>
    <t xml:space="preserve">Coût total mensuel
de l'assurance </t>
  </si>
  <si>
    <t>Chèque
Vendeur</t>
  </si>
  <si>
    <t>Montant des échéances</t>
  </si>
  <si>
    <t>Intérêts
du prêt</t>
  </si>
  <si>
    <t>TAEA</t>
  </si>
  <si>
    <t>Paiement
de la 1ère 
échéance à</t>
  </si>
  <si>
    <t>Durée
totale
de</t>
  </si>
  <si>
    <t>option
D</t>
  </si>
  <si>
    <t>option
DB</t>
  </si>
  <si>
    <t>option 
DIMC</t>
  </si>
  <si>
    <t>option
DIM</t>
  </si>
  <si>
    <t xml:space="preserve"> option 
DIMC</t>
  </si>
  <si>
    <t>option 
DIM</t>
  </si>
  <si>
    <t>Bon chèque Vendeur</t>
  </si>
  <si>
    <t xml:space="preserve">avec assurance </t>
  </si>
  <si>
    <t>DECOUVERT</t>
  </si>
  <si>
    <t>DUREE min</t>
  </si>
  <si>
    <t>DUREE max</t>
  </si>
  <si>
    <t>TDF STE</t>
  </si>
  <si>
    <t>% RETENUE</t>
  </si>
  <si>
    <t>Tables de compensation</t>
  </si>
  <si>
    <t>Bornes durées 
Mini de la table
de compensation</t>
  </si>
  <si>
    <t>Montant du crédit</t>
  </si>
  <si>
    <t>A partir</t>
  </si>
  <si>
    <t>Hors assurance</t>
  </si>
  <si>
    <t>Nombre de report</t>
  </si>
  <si>
    <t>TDF Mensuel</t>
  </si>
  <si>
    <t>Durée du crédit</t>
  </si>
  <si>
    <t>TAEG</t>
  </si>
  <si>
    <t>Durée totaledu crédit</t>
  </si>
  <si>
    <t xml:space="preserve">Mensualité sans assurance </t>
  </si>
  <si>
    <t>Mensualité avec D</t>
  </si>
  <si>
    <t>Mensualité avec DB</t>
  </si>
  <si>
    <t>Rang</t>
  </si>
  <si>
    <t>Mensualités assurance</t>
  </si>
  <si>
    <t xml:space="preserve">Mensualité avec DIM </t>
  </si>
  <si>
    <t>SANS</t>
  </si>
  <si>
    <t>Mensualité avec DIMC</t>
  </si>
  <si>
    <t>Découvert</t>
  </si>
  <si>
    <t>Choisissez votre offre….</t>
  </si>
  <si>
    <t>Gamme</t>
  </si>
  <si>
    <t>nom offre</t>
  </si>
  <si>
    <t>montant mini</t>
  </si>
  <si>
    <t>montant maxi</t>
  </si>
  <si>
    <t>durée mini</t>
  </si>
  <si>
    <t>durée maxi</t>
  </si>
  <si>
    <t>TNC</t>
  </si>
  <si>
    <t>TAEG client</t>
  </si>
  <si>
    <t>code bareme</t>
  </si>
  <si>
    <t>ouvert</t>
  </si>
  <si>
    <t>Gratuit Client</t>
  </si>
  <si>
    <t>3 X gratuit</t>
  </si>
  <si>
    <t>X</t>
  </si>
  <si>
    <t>10 X gratuit</t>
  </si>
  <si>
    <t>10 X gratuit cuisine</t>
  </si>
  <si>
    <t>20 X gratuit cuisine</t>
  </si>
  <si>
    <t>12 X gratuit</t>
  </si>
  <si>
    <t>12 X gratuit cuisine</t>
  </si>
  <si>
    <t>20 X gratuit</t>
  </si>
  <si>
    <t>30 X gratuit</t>
  </si>
  <si>
    <t>36 X gratuit</t>
  </si>
  <si>
    <t>48 X gratuit</t>
  </si>
  <si>
    <t>TAEG  client : 4;90%</t>
  </si>
  <si>
    <t>60 X gratuit</t>
  </si>
  <si>
    <t>12 X compensé cuisine</t>
  </si>
  <si>
    <t>24 X compensé cuisine</t>
  </si>
  <si>
    <t>36 X compensé cuisine</t>
  </si>
  <si>
    <t>48 X compensé cuisine</t>
  </si>
  <si>
    <t>60 X compensé cuisine</t>
  </si>
  <si>
    <t>payant</t>
  </si>
  <si>
    <t>10 X payant</t>
  </si>
  <si>
    <t>12 X payant</t>
  </si>
  <si>
    <t>20 X payant</t>
  </si>
  <si>
    <t>30 X payant</t>
  </si>
  <si>
    <t>36 X payant</t>
  </si>
  <si>
    <t>48 X payant</t>
  </si>
  <si>
    <t>60 X payant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</si>
</sst>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0.00\ &quot;€&quot;;[Red]\-#,##0.00\ &quot;€&quot;"/>
    <numFmt numFmtId="164" formatCode="#,##0.00&quot; &quot;\€"/>
    <numFmt numFmtId="165" formatCode="#,##0&quot; &quot;\€"/>
    <numFmt numFmtId="166" formatCode="#,##0.00\ &quot;F&quot;"/>
    <numFmt numFmtId="167" formatCode="#,##0.00\ _F"/>
    <numFmt numFmtId="168" formatCode="_-* #,##0.00\ _F_-;\-* #,##0.00\ _F_-;_-* &quot;-&quot;??\ _F_-;_-@_-"/>
    <numFmt numFmtId="169" formatCode="_-* #,##0\ _F_-;\-* #,##0\ _F_-;_-* &quot;-&quot;??\ _F_-;_-@_-"/>
    <numFmt numFmtId="170" formatCode="0.00000"/>
    <numFmt numFmtId="171" formatCode="_-* #,##0.00\ [$€]_-;\-* #,##0.00\ [$€]_-;_-* &quot;-&quot;??\ [$€]_-;_-@_-"/>
    <numFmt numFmtId="172" formatCode="0.0000"/>
    <numFmt numFmtId="173" formatCode="0.00;[Red]0.00"/>
    <numFmt numFmtId="174" formatCode="0.000%"/>
    <numFmt numFmtId="175" formatCode="#,##0.00\ &quot;€&quot;"/>
    <numFmt numFmtId="176" formatCode="0.00000000%"/>
  </numFmts>
  <fonts count="68">
    <font>
      <sz val="10"/>
      <name val="Arial"/>
    </font>
    <font>
      <sz val="10"/>
      <name val="Arial"/>
      <family val="2"/>
    </font>
    <font>
      <sz val="10"/>
      <name val="Geneva"/>
    </font>
    <font>
      <sz val="14"/>
      <name val="Century Gothic"/>
      <family val="2"/>
    </font>
    <font>
      <b/>
      <sz val="14"/>
      <name val="Century Gothic"/>
      <family val="2"/>
    </font>
    <font>
      <b/>
      <sz val="16"/>
      <name val="Century Gothic"/>
      <family val="2"/>
    </font>
    <font>
      <b/>
      <sz val="12"/>
      <name val="Century Gothic"/>
      <family val="2"/>
    </font>
    <font>
      <b/>
      <sz val="10"/>
      <name val="Century Gothic"/>
      <family val="2"/>
    </font>
    <font>
      <sz val="10"/>
      <name val="Arial"/>
      <family val="2"/>
    </font>
    <font>
      <sz val="10"/>
      <name val="Century Gothic"/>
      <family val="2"/>
    </font>
    <font>
      <b/>
      <sz val="11"/>
      <name val="Century Gothic"/>
      <family val="2"/>
    </font>
    <font>
      <sz val="14"/>
      <name val="Arial"/>
      <family val="2"/>
    </font>
    <font>
      <b/>
      <sz val="14"/>
      <name val="Calibri"/>
      <family val="2"/>
      <scheme val="minor"/>
    </font>
    <font>
      <sz val="10"/>
      <name val="Calibri"/>
      <family val="2"/>
      <scheme val="minor"/>
    </font>
    <font>
      <b/>
      <sz val="20"/>
      <name val="Calibri"/>
      <family val="2"/>
      <scheme val="minor"/>
    </font>
    <font>
      <b/>
      <sz val="12"/>
      <name val="Calibri"/>
      <family val="2"/>
      <scheme val="minor"/>
    </font>
    <font>
      <b/>
      <sz val="10"/>
      <name val="Calibri"/>
      <family val="2"/>
      <scheme val="minor"/>
    </font>
    <font>
      <sz val="9"/>
      <name val="Calibri"/>
      <family val="2"/>
      <scheme val="minor"/>
    </font>
    <font>
      <b/>
      <sz val="9"/>
      <name val="Calibri"/>
      <family val="2"/>
      <scheme val="minor"/>
    </font>
    <font>
      <b/>
      <sz val="9"/>
      <color theme="0"/>
      <name val="Calibri"/>
      <family val="2"/>
      <scheme val="minor"/>
    </font>
    <font>
      <b/>
      <sz val="11"/>
      <name val="Calibri"/>
      <family val="2"/>
      <scheme val="minor"/>
    </font>
    <font>
      <b/>
      <sz val="10"/>
      <color rgb="FFFF0000"/>
      <name val="Calibri"/>
      <family val="2"/>
      <scheme val="minor"/>
    </font>
    <font>
      <b/>
      <sz val="14"/>
      <color rgb="FFC00000"/>
      <name val="Century Gothic"/>
      <family val="2"/>
    </font>
    <font>
      <b/>
      <sz val="18"/>
      <color rgb="FFC00000"/>
      <name val="Century Gothic"/>
      <family val="2"/>
    </font>
    <font>
      <sz val="20"/>
      <name val="Century Gothic"/>
      <family val="2"/>
    </font>
    <font>
      <b/>
      <sz val="18"/>
      <name val="Century Gothic"/>
      <family val="2"/>
    </font>
    <font>
      <b/>
      <sz val="20"/>
      <name val="Century Gothic"/>
      <family val="2"/>
    </font>
    <font>
      <b/>
      <sz val="20"/>
      <color rgb="FFC00000"/>
      <name val="Century Gothic"/>
      <family val="2"/>
    </font>
    <font>
      <b/>
      <sz val="22"/>
      <name val="Century Gothic"/>
      <family val="2"/>
    </font>
    <font>
      <b/>
      <sz val="28"/>
      <name val="Century Gothic"/>
      <family val="2"/>
    </font>
    <font>
      <b/>
      <sz val="14"/>
      <color indexed="10"/>
      <name val="Century Gothic"/>
      <family val="2"/>
    </font>
    <font>
      <sz val="18"/>
      <name val="Century Gothic"/>
      <family val="2"/>
    </font>
    <font>
      <b/>
      <sz val="20"/>
      <color theme="5"/>
      <name val="Century Gothic"/>
      <family val="2"/>
    </font>
    <font>
      <b/>
      <sz val="18"/>
      <color theme="5"/>
      <name val="Century Gothic"/>
      <family val="2"/>
    </font>
    <font>
      <sz val="20"/>
      <color rgb="FF1F497D"/>
      <name val="Century Gothic"/>
      <family val="2"/>
    </font>
    <font>
      <sz val="16"/>
      <name val="Century Gothic"/>
      <family val="2"/>
    </font>
    <font>
      <b/>
      <sz val="24"/>
      <name val="Century Gothic"/>
      <family val="2"/>
    </font>
    <font>
      <b/>
      <sz val="20"/>
      <color indexed="9"/>
      <name val="Century Gothic"/>
      <family val="2"/>
    </font>
    <font>
      <b/>
      <sz val="14"/>
      <color theme="0"/>
      <name val="Century Gothic"/>
      <family val="2"/>
    </font>
    <font>
      <sz val="9"/>
      <name val="Century Gothic"/>
      <family val="2"/>
    </font>
    <font>
      <b/>
      <sz val="15"/>
      <name val="Century Gothic"/>
      <family val="2"/>
    </font>
    <font>
      <b/>
      <sz val="14"/>
      <color rgb="FFC00000"/>
      <name val="Calibri"/>
      <family val="2"/>
      <scheme val="minor"/>
    </font>
    <font>
      <sz val="14"/>
      <name val="Calibri"/>
      <family val="2"/>
      <scheme val="minor"/>
    </font>
    <font>
      <sz val="14"/>
      <color rgb="FFC00000"/>
      <name val="Calibri"/>
      <family val="2"/>
      <scheme val="minor"/>
    </font>
    <font>
      <sz val="12"/>
      <name val="Century Gothic"/>
      <family val="2"/>
    </font>
    <font>
      <sz val="22"/>
      <color theme="0"/>
      <name val="Arial"/>
      <family val="2"/>
    </font>
    <font>
      <b/>
      <sz val="22"/>
      <color theme="0"/>
      <name val="Arial"/>
      <family val="2"/>
    </font>
    <font>
      <b/>
      <sz val="10"/>
      <name val="Aptos Display"/>
      <family val="2"/>
    </font>
    <font>
      <b/>
      <sz val="30"/>
      <name val="Aptos Display"/>
      <family val="2"/>
    </font>
    <font>
      <b/>
      <sz val="12"/>
      <name val="Aptos Display"/>
      <family val="2"/>
    </font>
    <font>
      <b/>
      <sz val="50"/>
      <name val="Aptos Display"/>
      <family val="2"/>
    </font>
    <font>
      <b/>
      <sz val="40"/>
      <name val="Aptos Display"/>
      <family val="2"/>
    </font>
    <font>
      <sz val="11"/>
      <name val="Aptos Display"/>
      <family val="2"/>
    </font>
    <font>
      <sz val="10"/>
      <name val="Aptos Display"/>
      <family val="2"/>
    </font>
    <font>
      <sz val="8"/>
      <name val="Aptos Display"/>
      <family val="2"/>
    </font>
    <font>
      <sz val="7"/>
      <name val="Aptos Display"/>
      <family val="2"/>
    </font>
    <font>
      <b/>
      <sz val="9"/>
      <name val="Aptos Display"/>
      <family val="2"/>
    </font>
    <font>
      <sz val="9"/>
      <name val="Aptos Display"/>
      <family val="2"/>
    </font>
    <font>
      <b/>
      <sz val="10"/>
      <name val="Arial"/>
      <family val="2"/>
    </font>
    <font>
      <b/>
      <sz val="100"/>
      <color rgb="FF00A3B0"/>
      <name val="Aptos Display"/>
      <family val="2"/>
    </font>
    <font>
      <b/>
      <sz val="11"/>
      <color theme="0"/>
      <name val="Calibri"/>
      <family val="2"/>
      <scheme val="minor"/>
    </font>
    <font>
      <b/>
      <sz val="8"/>
      <color theme="1"/>
      <name val="Calibri"/>
      <family val="2"/>
      <scheme val="minor"/>
    </font>
    <font>
      <sz val="11"/>
      <color rgb="FF000000"/>
      <name val="Calibri"/>
      <family val="2"/>
    </font>
    <font>
      <b/>
      <sz val="8"/>
      <color rgb="FFFF0000"/>
      <name val="Calibri"/>
      <family val="2"/>
      <scheme val="minor"/>
    </font>
    <font>
      <b/>
      <sz val="11"/>
      <color rgb="FFFF0000"/>
      <name val="Century Gothic"/>
      <family val="2"/>
    </font>
    <font>
      <sz val="16"/>
      <name val="Arial"/>
      <family val="2"/>
    </font>
    <font>
      <i/>
      <sz val="8"/>
      <name val="Arial"/>
      <family val="2"/>
    </font>
    <font>
      <sz val="5"/>
      <name val="Aptos Display"/>
      <family val="2"/>
    </font>
  </fonts>
  <fills count="21">
    <fill>
      <patternFill patternType="none"/>
    </fill>
    <fill>
      <patternFill patternType="gray125"/>
    </fill>
    <fill>
      <patternFill patternType="solid">
        <fgColor rgb="FFFFFFCC"/>
        <bgColor indexed="64"/>
      </patternFill>
    </fill>
    <fill>
      <patternFill patternType="mediumGray">
        <fgColor indexed="9"/>
        <bgColor indexed="26"/>
      </patternFill>
    </fill>
    <fill>
      <patternFill patternType="solid">
        <fgColor indexed="8"/>
        <bgColor indexed="64"/>
      </patternFill>
    </fill>
    <fill>
      <patternFill patternType="solid">
        <fgColor theme="1"/>
        <bgColor indexed="64"/>
      </patternFill>
    </fill>
    <fill>
      <patternFill patternType="solid">
        <fgColor rgb="FF92D050"/>
        <bgColor indexed="64"/>
      </patternFill>
    </fill>
    <fill>
      <patternFill patternType="solid">
        <fgColor rgb="FFFFFF99"/>
        <bgColor indexed="64"/>
      </patternFill>
    </fill>
    <fill>
      <patternFill patternType="mediumGray">
        <fgColor indexed="9"/>
        <bgColor indexed="50"/>
      </patternFill>
    </fill>
    <fill>
      <patternFill patternType="solid">
        <fgColor theme="0" tint="-0.14999847407452621"/>
        <bgColor indexed="64"/>
      </patternFill>
    </fill>
    <fill>
      <patternFill patternType="solid">
        <fgColor theme="0" tint="-0.249977111117893"/>
        <bgColor indexed="64"/>
      </patternFill>
    </fill>
    <fill>
      <patternFill patternType="mediumGray">
        <fgColor indexed="9"/>
        <bgColor rgb="FFFFFFCC"/>
      </patternFill>
    </fill>
    <fill>
      <patternFill patternType="solid">
        <fgColor theme="0" tint="-0.14999847407452621"/>
        <bgColor indexed="9"/>
      </patternFill>
    </fill>
    <fill>
      <patternFill patternType="solid">
        <fgColor rgb="FFFFFFEB"/>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
      <patternFill patternType="solid">
        <fgColor theme="3" tint="0.59999389629810485"/>
        <bgColor indexed="64"/>
      </patternFill>
    </fill>
    <fill>
      <patternFill patternType="solid">
        <fgColor theme="6"/>
        <bgColor indexed="64"/>
      </patternFill>
    </fill>
    <fill>
      <patternFill patternType="solid">
        <fgColor theme="9" tint="0.39997558519241921"/>
        <bgColor indexed="64"/>
      </patternFill>
    </fill>
    <fill>
      <patternFill patternType="mediumGray">
        <fgColor indexed="9"/>
        <bgColor theme="0" tint="-0.14999847407452621"/>
      </patternFill>
    </fill>
  </fills>
  <borders count="4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thin">
        <color indexed="9"/>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style="thin">
        <color indexed="9"/>
      </right>
      <top style="thin">
        <color indexed="9"/>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9"/>
      </left>
      <right/>
      <top style="thin">
        <color indexed="9"/>
      </top>
      <bottom/>
      <diagonal/>
    </border>
    <border>
      <left style="thin">
        <color indexed="64"/>
      </left>
      <right/>
      <top/>
      <bottom style="thin">
        <color indexed="9"/>
      </bottom>
      <diagonal/>
    </border>
    <border>
      <left/>
      <right style="thin">
        <color indexed="9"/>
      </right>
      <top style="thin">
        <color indexed="9"/>
      </top>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theme="0"/>
      </right>
      <top style="thin">
        <color theme="0"/>
      </top>
      <bottom style="thin">
        <color indexed="64"/>
      </bottom>
      <diagonal/>
    </border>
    <border>
      <left/>
      <right style="thin">
        <color indexed="64"/>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ck">
        <color rgb="FF48A0AD"/>
      </left>
      <right/>
      <top style="thick">
        <color rgb="FF48A0AD"/>
      </top>
      <bottom/>
      <diagonal/>
    </border>
    <border>
      <left/>
      <right/>
      <top style="thick">
        <color rgb="FF48A0AD"/>
      </top>
      <bottom/>
      <diagonal/>
    </border>
    <border>
      <left/>
      <right style="thick">
        <color rgb="FF48A0AD"/>
      </right>
      <top style="thick">
        <color rgb="FF48A0AD"/>
      </top>
      <bottom/>
      <diagonal/>
    </border>
    <border>
      <left style="thick">
        <color rgb="FF48A0AD"/>
      </left>
      <right/>
      <top/>
      <bottom/>
      <diagonal/>
    </border>
    <border>
      <left/>
      <right style="thick">
        <color rgb="FF48A0AD"/>
      </right>
      <top/>
      <bottom/>
      <diagonal/>
    </border>
    <border>
      <left style="thick">
        <color rgb="FF48A0AD"/>
      </left>
      <right/>
      <top/>
      <bottom style="thick">
        <color rgb="FF48A0AD"/>
      </bottom>
      <diagonal/>
    </border>
    <border>
      <left/>
      <right/>
      <top/>
      <bottom style="thick">
        <color rgb="FF48A0AD"/>
      </bottom>
      <diagonal/>
    </border>
    <border>
      <left/>
      <right style="thick">
        <color rgb="FF48A0AD"/>
      </right>
      <top/>
      <bottom style="thick">
        <color rgb="FF48A0AD"/>
      </bottom>
      <diagonal/>
    </border>
  </borders>
  <cellStyleXfs count="17">
    <xf numFmtId="0" fontId="0" fillId="0" borderId="0"/>
    <xf numFmtId="168" fontId="1" fillId="0" borderId="0" applyFont="0" applyFill="0" applyBorder="0" applyAlignment="0" applyProtection="0"/>
    <xf numFmtId="9" fontId="1" fillId="0" borderId="0" applyFont="0" applyFill="0" applyBorder="0" applyAlignment="0" applyProtection="0"/>
    <xf numFmtId="0" fontId="2" fillId="0" borderId="0"/>
    <xf numFmtId="171" fontId="1" fillId="0" borderId="0" applyFont="0" applyFill="0" applyBorder="0" applyAlignment="0" applyProtection="0"/>
    <xf numFmtId="171" fontId="8" fillId="0" borderId="0" applyFont="0" applyFill="0" applyBorder="0" applyAlignment="0" applyProtection="0"/>
    <xf numFmtId="168" fontId="8" fillId="0" borderId="0" applyFont="0" applyFill="0" applyBorder="0" applyAlignment="0" applyProtection="0"/>
    <xf numFmtId="0" fontId="8" fillId="0" borderId="0"/>
    <xf numFmtId="9" fontId="8" fillId="0" borderId="0" applyFont="0" applyFill="0" applyBorder="0" applyAlignment="0" applyProtection="0"/>
    <xf numFmtId="9" fontId="8" fillId="0" borderId="0" applyFont="0" applyFill="0" applyBorder="0" applyAlignment="0" applyProtection="0"/>
    <xf numFmtId="0" fontId="1" fillId="0" borderId="0"/>
    <xf numFmtId="0" fontId="1" fillId="0" borderId="0"/>
    <xf numFmtId="171" fontId="1" fillId="0" borderId="0" applyFont="0" applyFill="0" applyBorder="0" applyAlignment="0" applyProtection="0"/>
    <xf numFmtId="168"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cellStyleXfs>
  <cellXfs count="352">
    <xf numFmtId="0" fontId="0" fillId="0" borderId="0" xfId="0"/>
    <xf numFmtId="0" fontId="13" fillId="0" borderId="0" xfId="7" applyFont="1" applyAlignment="1">
      <alignment vertical="center"/>
    </xf>
    <xf numFmtId="0" fontId="16" fillId="0" borderId="0" xfId="7" applyFont="1" applyAlignment="1">
      <alignment horizontal="center" vertical="center"/>
    </xf>
    <xf numFmtId="0" fontId="16" fillId="0" borderId="3" xfId="7" applyFont="1" applyBorder="1" applyAlignment="1">
      <alignment horizontal="center" vertical="center"/>
    </xf>
    <xf numFmtId="0" fontId="17" fillId="0" borderId="3" xfId="7" applyFont="1" applyBorder="1" applyAlignment="1">
      <alignment vertical="center"/>
    </xf>
    <xf numFmtId="1" fontId="17" fillId="7" borderId="3" xfId="7" applyNumberFormat="1" applyFont="1" applyFill="1" applyBorder="1" applyAlignment="1">
      <alignment horizontal="right" vertical="center"/>
    </xf>
    <xf numFmtId="0" fontId="18" fillId="0" borderId="0" xfId="7" applyFont="1" applyAlignment="1">
      <alignment horizontal="center" vertical="center"/>
    </xf>
    <xf numFmtId="10" fontId="16" fillId="0" borderId="3" xfId="7" applyNumberFormat="1" applyFont="1" applyBorder="1" applyAlignment="1">
      <alignment horizontal="center" vertical="center"/>
    </xf>
    <xf numFmtId="10" fontId="16" fillId="0" borderId="0" xfId="7" applyNumberFormat="1" applyFont="1" applyAlignment="1">
      <alignment horizontal="center" vertical="center"/>
    </xf>
    <xf numFmtId="0" fontId="13" fillId="0" borderId="3" xfId="7" applyFont="1" applyBorder="1" applyAlignment="1">
      <alignment vertical="center"/>
    </xf>
    <xf numFmtId="3" fontId="13" fillId="7" borderId="3" xfId="7" applyNumberFormat="1" applyFont="1" applyFill="1" applyBorder="1" applyAlignment="1">
      <alignment horizontal="right" vertical="center"/>
    </xf>
    <xf numFmtId="0" fontId="17" fillId="0" borderId="0" xfId="7" applyFont="1" applyAlignment="1">
      <alignment vertical="center"/>
    </xf>
    <xf numFmtId="0" fontId="19" fillId="6" borderId="3" xfId="7" applyFont="1" applyFill="1" applyBorder="1" applyAlignment="1">
      <alignment horizontal="center" vertical="center"/>
    </xf>
    <xf numFmtId="10" fontId="19" fillId="6" borderId="3" xfId="2" applyNumberFormat="1" applyFont="1" applyFill="1" applyBorder="1" applyAlignment="1">
      <alignment horizontal="center" vertical="center"/>
    </xf>
    <xf numFmtId="10" fontId="19" fillId="0" borderId="0" xfId="2" applyNumberFormat="1" applyFont="1" applyAlignment="1">
      <alignment horizontal="center" vertical="center"/>
    </xf>
    <xf numFmtId="0" fontId="18" fillId="7" borderId="3" xfId="7" applyFont="1" applyFill="1" applyBorder="1" applyAlignment="1">
      <alignment horizontal="center" vertical="center"/>
    </xf>
    <xf numFmtId="10" fontId="18" fillId="7" borderId="3" xfId="2" applyNumberFormat="1" applyFont="1" applyFill="1" applyBorder="1" applyAlignment="1">
      <alignment horizontal="center" vertical="center"/>
    </xf>
    <xf numFmtId="9" fontId="18" fillId="0" borderId="0" xfId="7" applyNumberFormat="1" applyFont="1" applyAlignment="1">
      <alignment horizontal="center" vertical="center"/>
    </xf>
    <xf numFmtId="4" fontId="17" fillId="7" borderId="3" xfId="7" applyNumberFormat="1" applyFont="1" applyFill="1" applyBorder="1" applyAlignment="1">
      <alignment horizontal="right" vertical="center"/>
    </xf>
    <xf numFmtId="10" fontId="18" fillId="0" borderId="0" xfId="2" applyNumberFormat="1" applyFont="1" applyAlignment="1">
      <alignment horizontal="center" vertical="center"/>
    </xf>
    <xf numFmtId="0" fontId="20" fillId="0" borderId="0" xfId="7" applyFont="1" applyAlignment="1">
      <alignment horizontal="center" vertical="center"/>
    </xf>
    <xf numFmtId="0" fontId="17" fillId="0" borderId="0" xfId="7" applyFont="1" applyAlignment="1">
      <alignment horizontal="right" vertical="center"/>
    </xf>
    <xf numFmtId="4" fontId="17" fillId="0" borderId="0" xfId="7" applyNumberFormat="1" applyFont="1" applyAlignment="1">
      <alignment vertical="center"/>
    </xf>
    <xf numFmtId="0" fontId="16" fillId="0" borderId="0" xfId="7" applyFont="1" applyAlignment="1">
      <alignment horizontal="center" vertical="center" wrapText="1"/>
    </xf>
    <xf numFmtId="4" fontId="13" fillId="7" borderId="3" xfId="7" applyNumberFormat="1" applyFont="1" applyFill="1" applyBorder="1" applyAlignment="1">
      <alignment horizontal="right" vertical="center"/>
    </xf>
    <xf numFmtId="3" fontId="13" fillId="0" borderId="3" xfId="7" applyNumberFormat="1" applyFont="1" applyBorder="1" applyAlignment="1">
      <alignment vertical="center"/>
    </xf>
    <xf numFmtId="0" fontId="13" fillId="0" borderId="0" xfId="7" applyFont="1" applyAlignment="1">
      <alignment horizontal="center" vertical="center"/>
    </xf>
    <xf numFmtId="0" fontId="13" fillId="0" borderId="3" xfId="7" applyFont="1" applyBorder="1" applyAlignment="1">
      <alignment horizontal="center" vertical="center"/>
    </xf>
    <xf numFmtId="2" fontId="13" fillId="0" borderId="0" xfId="2" applyNumberFormat="1" applyFont="1" applyAlignment="1">
      <alignment vertical="center"/>
    </xf>
    <xf numFmtId="172" fontId="13" fillId="0" borderId="0" xfId="2" applyNumberFormat="1" applyFont="1" applyAlignment="1">
      <alignment vertical="center"/>
    </xf>
    <xf numFmtId="0" fontId="21" fillId="0" borderId="0" xfId="7" applyFont="1" applyAlignment="1">
      <alignment horizontal="center" vertical="center"/>
    </xf>
    <xf numFmtId="0" fontId="15" fillId="0" borderId="3" xfId="7" applyFont="1" applyBorder="1" applyAlignment="1">
      <alignment horizontal="center" vertical="center"/>
    </xf>
    <xf numFmtId="0" fontId="15" fillId="0" borderId="3" xfId="7" applyFont="1" applyBorder="1" applyAlignment="1">
      <alignment horizontal="center" vertical="center" wrapText="1"/>
    </xf>
    <xf numFmtId="0" fontId="9" fillId="0" borderId="0" xfId="0" applyFont="1" applyAlignment="1">
      <alignment vertical="center"/>
    </xf>
    <xf numFmtId="164" fontId="24" fillId="0" borderId="0" xfId="0" applyNumberFormat="1" applyFont="1" applyAlignment="1">
      <alignment vertical="center"/>
    </xf>
    <xf numFmtId="3" fontId="9" fillId="0" borderId="0" xfId="0" applyNumberFormat="1" applyFont="1" applyAlignment="1">
      <alignment vertical="center"/>
    </xf>
    <xf numFmtId="0" fontId="23" fillId="2" borderId="3" xfId="0" applyFont="1" applyFill="1" applyBorder="1" applyAlignment="1">
      <alignment horizontal="center" vertical="center"/>
    </xf>
    <xf numFmtId="3" fontId="27" fillId="2" borderId="3" xfId="0" applyNumberFormat="1" applyFont="1" applyFill="1" applyBorder="1" applyAlignment="1">
      <alignment horizontal="center" vertical="center"/>
    </xf>
    <xf numFmtId="165" fontId="3" fillId="0" borderId="0" xfId="0" applyNumberFormat="1" applyFont="1" applyAlignment="1" applyProtection="1">
      <alignment vertical="center"/>
      <protection hidden="1"/>
    </xf>
    <xf numFmtId="164" fontId="24" fillId="0" borderId="0" xfId="0" applyNumberFormat="1" applyFont="1" applyAlignment="1" applyProtection="1">
      <alignment vertical="center"/>
      <protection hidden="1"/>
    </xf>
    <xf numFmtId="0" fontId="4" fillId="0" borderId="0" xfId="0" applyFont="1" applyAlignment="1" applyProtection="1">
      <alignment vertical="center"/>
      <protection hidden="1"/>
    </xf>
    <xf numFmtId="3" fontId="3" fillId="0" borderId="0" xfId="0" applyNumberFormat="1" applyFont="1" applyAlignment="1" applyProtection="1">
      <alignment vertical="center"/>
      <protection hidden="1"/>
    </xf>
    <xf numFmtId="0" fontId="3" fillId="0" borderId="0" xfId="0" applyFont="1" applyAlignment="1" applyProtection="1">
      <alignment vertical="center"/>
      <protection hidden="1"/>
    </xf>
    <xf numFmtId="0" fontId="23" fillId="2" borderId="3" xfId="0" applyFont="1" applyFill="1" applyBorder="1" applyAlignment="1" applyProtection="1">
      <alignment horizontal="center" vertical="center"/>
      <protection hidden="1"/>
    </xf>
    <xf numFmtId="1" fontId="26" fillId="9" borderId="3" xfId="0" applyNumberFormat="1" applyFont="1" applyFill="1" applyBorder="1" applyAlignment="1" applyProtection="1">
      <alignment horizontal="center" vertical="center" wrapText="1"/>
      <protection hidden="1"/>
    </xf>
    <xf numFmtId="3" fontId="27" fillId="2" borderId="3" xfId="2" applyNumberFormat="1" applyFont="1" applyFill="1" applyBorder="1" applyAlignment="1" applyProtection="1">
      <alignment horizontal="center" vertical="center"/>
      <protection hidden="1"/>
    </xf>
    <xf numFmtId="1" fontId="27" fillId="2" borderId="3" xfId="2" applyNumberFormat="1" applyFont="1" applyFill="1" applyBorder="1" applyAlignment="1" applyProtection="1">
      <alignment horizontal="center" vertical="center"/>
      <protection hidden="1"/>
    </xf>
    <xf numFmtId="1" fontId="27" fillId="2" borderId="3" xfId="0" applyNumberFormat="1" applyFont="1" applyFill="1" applyBorder="1" applyAlignment="1" applyProtection="1">
      <alignment horizontal="center" vertical="center" wrapText="1"/>
      <protection hidden="1"/>
    </xf>
    <xf numFmtId="0" fontId="27" fillId="2" borderId="3" xfId="0" applyFont="1" applyFill="1" applyBorder="1" applyAlignment="1" applyProtection="1">
      <alignment horizontal="center" vertical="center"/>
      <protection hidden="1"/>
    </xf>
    <xf numFmtId="0" fontId="30" fillId="0" borderId="0" xfId="0" applyFont="1" applyAlignment="1" applyProtection="1">
      <alignment vertical="center"/>
      <protection hidden="1"/>
    </xf>
    <xf numFmtId="4" fontId="23" fillId="2" borderId="3" xfId="0" applyNumberFormat="1" applyFont="1" applyFill="1" applyBorder="1" applyAlignment="1" applyProtection="1">
      <alignment horizontal="center" vertical="center" wrapText="1"/>
      <protection hidden="1"/>
    </xf>
    <xf numFmtId="10" fontId="23" fillId="2" borderId="3" xfId="2" applyNumberFormat="1" applyFont="1" applyFill="1" applyBorder="1" applyAlignment="1" applyProtection="1">
      <alignment horizontal="center" vertical="center" wrapText="1"/>
      <protection hidden="1"/>
    </xf>
    <xf numFmtId="10" fontId="3" fillId="0" borderId="0" xfId="2" applyNumberFormat="1" applyFont="1" applyAlignment="1" applyProtection="1">
      <alignment vertical="center"/>
      <protection hidden="1"/>
    </xf>
    <xf numFmtId="10" fontId="4" fillId="0" borderId="0" xfId="2" applyNumberFormat="1" applyFont="1" applyAlignment="1" applyProtection="1">
      <alignment horizontal="right" vertical="center" wrapText="1"/>
      <protection hidden="1"/>
    </xf>
    <xf numFmtId="10" fontId="3" fillId="0" borderId="0" xfId="0" applyNumberFormat="1" applyFont="1" applyAlignment="1" applyProtection="1">
      <alignment vertical="center"/>
      <protection hidden="1"/>
    </xf>
    <xf numFmtId="0" fontId="3" fillId="0" borderId="0" xfId="0" applyFont="1" applyAlignment="1" applyProtection="1">
      <alignment horizontal="right" vertical="center"/>
      <protection hidden="1"/>
    </xf>
    <xf numFmtId="0" fontId="25" fillId="0" borderId="0" xfId="0" applyFont="1" applyAlignment="1" applyProtection="1">
      <alignment horizontal="center" vertical="center"/>
      <protection hidden="1"/>
    </xf>
    <xf numFmtId="165" fontId="31" fillId="0" borderId="0" xfId="0" applyNumberFormat="1" applyFont="1" applyAlignment="1" applyProtection="1">
      <alignment vertical="center"/>
      <protection hidden="1"/>
    </xf>
    <xf numFmtId="0" fontId="25" fillId="0" borderId="0" xfId="0" applyFont="1" applyAlignment="1" applyProtection="1">
      <alignment horizontal="center" vertical="center" wrapText="1"/>
      <protection hidden="1"/>
    </xf>
    <xf numFmtId="3" fontId="3" fillId="0" borderId="0" xfId="0" applyNumberFormat="1" applyFont="1" applyAlignment="1" applyProtection="1">
      <alignment horizontal="right" vertical="center"/>
      <protection hidden="1"/>
    </xf>
    <xf numFmtId="1" fontId="25" fillId="9" borderId="6" xfId="2" applyNumberFormat="1" applyFont="1" applyFill="1" applyBorder="1" applyAlignment="1" applyProtection="1">
      <alignment horizontal="center" vertical="center"/>
      <protection hidden="1"/>
    </xf>
    <xf numFmtId="0" fontId="4" fillId="0" borderId="0" xfId="0" applyFont="1" applyAlignment="1" applyProtection="1">
      <alignment horizontal="center" vertical="center"/>
      <protection hidden="1"/>
    </xf>
    <xf numFmtId="1" fontId="31" fillId="9" borderId="3" xfId="0" applyNumberFormat="1" applyFont="1" applyFill="1" applyBorder="1" applyAlignment="1" applyProtection="1">
      <alignment horizontal="center" vertical="center"/>
      <protection hidden="1"/>
    </xf>
    <xf numFmtId="1" fontId="32" fillId="2" borderId="3" xfId="0" applyNumberFormat="1" applyFont="1" applyFill="1" applyBorder="1" applyAlignment="1" applyProtection="1">
      <alignment horizontal="center" vertical="center"/>
      <protection hidden="1"/>
    </xf>
    <xf numFmtId="1" fontId="27" fillId="2" borderId="3" xfId="0" applyNumberFormat="1" applyFont="1" applyFill="1" applyBorder="1" applyAlignment="1" applyProtection="1">
      <alignment horizontal="center" vertical="center"/>
      <protection hidden="1"/>
    </xf>
    <xf numFmtId="4" fontId="27" fillId="2" borderId="3" xfId="0" applyNumberFormat="1" applyFont="1" applyFill="1" applyBorder="1" applyAlignment="1">
      <alignment horizontal="center" vertical="center"/>
    </xf>
    <xf numFmtId="4" fontId="4" fillId="0" borderId="0" xfId="2" applyNumberFormat="1" applyFont="1" applyAlignment="1" applyProtection="1">
      <alignment horizontal="center" vertical="center"/>
      <protection hidden="1"/>
    </xf>
    <xf numFmtId="0" fontId="4" fillId="0" borderId="0" xfId="0" applyFont="1" applyAlignment="1" applyProtection="1">
      <alignment horizontal="center" vertical="center" wrapText="1"/>
      <protection hidden="1"/>
    </xf>
    <xf numFmtId="0" fontId="31" fillId="9" borderId="3" xfId="0" applyFont="1" applyFill="1" applyBorder="1" applyAlignment="1" applyProtection="1">
      <alignment horizontal="center" vertical="center"/>
      <protection hidden="1"/>
    </xf>
    <xf numFmtId="0" fontId="26" fillId="9" borderId="3" xfId="0" applyFont="1" applyFill="1" applyBorder="1" applyAlignment="1">
      <alignment horizontal="center" vertical="center"/>
    </xf>
    <xf numFmtId="164" fontId="24" fillId="0" borderId="0" xfId="0" applyNumberFormat="1" applyFont="1" applyAlignment="1" applyProtection="1">
      <alignment horizontal="right" vertical="center"/>
      <protection hidden="1"/>
    </xf>
    <xf numFmtId="0" fontId="3" fillId="0" borderId="0" xfId="0" applyFont="1" applyAlignment="1">
      <alignment vertical="center"/>
    </xf>
    <xf numFmtId="0" fontId="25" fillId="9" borderId="3" xfId="0" applyFont="1" applyFill="1" applyBorder="1" applyAlignment="1" applyProtection="1">
      <alignment horizontal="center" vertical="center" wrapText="1"/>
      <protection hidden="1"/>
    </xf>
    <xf numFmtId="3" fontId="33" fillId="2" borderId="3" xfId="0" applyNumberFormat="1" applyFont="1" applyFill="1" applyBorder="1" applyAlignment="1" applyProtection="1">
      <alignment horizontal="center" vertical="center" wrapText="1"/>
      <protection hidden="1"/>
    </xf>
    <xf numFmtId="0" fontId="3" fillId="0" borderId="0" xfId="0" applyFont="1" applyAlignment="1" applyProtection="1">
      <alignment horizontal="center" vertical="center" wrapText="1"/>
      <protection hidden="1"/>
    </xf>
    <xf numFmtId="0" fontId="34" fillId="0" borderId="0" xfId="0" applyFont="1" applyAlignment="1">
      <alignment vertical="center"/>
    </xf>
    <xf numFmtId="4" fontId="3" fillId="0" borderId="0" xfId="0" applyNumberFormat="1" applyFont="1" applyAlignment="1" applyProtection="1">
      <alignment vertical="center"/>
      <protection hidden="1"/>
    </xf>
    <xf numFmtId="0" fontId="5" fillId="9" borderId="3" xfId="0" applyFont="1" applyFill="1" applyBorder="1" applyAlignment="1" applyProtection="1">
      <alignment horizontal="center" vertical="center" wrapText="1"/>
      <protection hidden="1"/>
    </xf>
    <xf numFmtId="4" fontId="5" fillId="9" borderId="3" xfId="0" applyNumberFormat="1" applyFont="1" applyFill="1" applyBorder="1" applyAlignment="1" applyProtection="1">
      <alignment horizontal="center" vertical="center" wrapText="1"/>
      <protection hidden="1"/>
    </xf>
    <xf numFmtId="1" fontId="26" fillId="0" borderId="0" xfId="0" applyNumberFormat="1" applyFont="1" applyAlignment="1" applyProtection="1">
      <alignment vertical="center"/>
      <protection hidden="1"/>
    </xf>
    <xf numFmtId="10" fontId="26" fillId="0" borderId="0" xfId="2" applyNumberFormat="1" applyFont="1" applyAlignment="1" applyProtection="1">
      <alignment horizontal="center" vertical="center" wrapText="1"/>
      <protection hidden="1"/>
    </xf>
    <xf numFmtId="0" fontId="5" fillId="0" borderId="0" xfId="0" applyFont="1" applyAlignment="1" applyProtection="1">
      <alignment horizontal="center" vertical="center"/>
      <protection hidden="1"/>
    </xf>
    <xf numFmtId="0" fontId="35" fillId="0" borderId="0" xfId="0" applyFont="1" applyAlignment="1" applyProtection="1">
      <alignment horizontal="center" vertical="center"/>
      <protection hidden="1"/>
    </xf>
    <xf numFmtId="1" fontId="35" fillId="0" borderId="0" xfId="0" applyNumberFormat="1" applyFont="1" applyAlignment="1" applyProtection="1">
      <alignment vertical="center"/>
      <protection hidden="1"/>
    </xf>
    <xf numFmtId="0" fontId="27" fillId="0" borderId="0" xfId="0" applyFont="1" applyAlignment="1">
      <alignment horizontal="center" vertical="center"/>
    </xf>
    <xf numFmtId="0" fontId="33" fillId="2" borderId="3" xfId="0" applyFont="1" applyFill="1" applyBorder="1" applyAlignment="1">
      <alignment horizontal="center" vertical="center"/>
    </xf>
    <xf numFmtId="10" fontId="27" fillId="0" borderId="0" xfId="2" applyNumberFormat="1" applyFont="1" applyAlignment="1" applyProtection="1">
      <alignment horizontal="center" vertical="center" wrapText="1"/>
      <protection hidden="1"/>
    </xf>
    <xf numFmtId="0" fontId="3" fillId="0" borderId="0" xfId="0" applyFont="1" applyAlignment="1" applyProtection="1">
      <alignment horizontal="right" vertical="center" wrapText="1"/>
      <protection hidden="1"/>
    </xf>
    <xf numFmtId="0" fontId="6" fillId="0" borderId="0" xfId="0" applyFont="1" applyAlignment="1" applyProtection="1">
      <alignment vertical="center" wrapText="1"/>
      <protection hidden="1"/>
    </xf>
    <xf numFmtId="10" fontId="4" fillId="0" borderId="0" xfId="2" applyNumberFormat="1" applyFont="1" applyAlignment="1" applyProtection="1">
      <alignment horizontal="center" vertical="center"/>
      <protection hidden="1"/>
    </xf>
    <xf numFmtId="4" fontId="7" fillId="0" borderId="0" xfId="3" applyNumberFormat="1" applyFont="1" applyAlignment="1" applyProtection="1">
      <alignment horizontal="center" vertical="center"/>
      <protection hidden="1"/>
    </xf>
    <xf numFmtId="165" fontId="4" fillId="0" borderId="8" xfId="0" applyNumberFormat="1" applyFont="1" applyBorder="1" applyAlignment="1" applyProtection="1">
      <alignment horizontal="center" vertical="center" wrapText="1"/>
      <protection hidden="1"/>
    </xf>
    <xf numFmtId="165" fontId="5" fillId="0" borderId="5" xfId="0" applyNumberFormat="1" applyFont="1" applyBorder="1" applyAlignment="1" applyProtection="1">
      <alignment horizontal="center" vertical="center" wrapText="1"/>
      <protection hidden="1"/>
    </xf>
    <xf numFmtId="0" fontId="5" fillId="0" borderId="3" xfId="0" applyFont="1" applyBorder="1" applyAlignment="1" applyProtection="1">
      <alignment horizontal="center" vertical="center" wrapText="1"/>
      <protection hidden="1"/>
    </xf>
    <xf numFmtId="1" fontId="37" fillId="4" borderId="7" xfId="0" applyNumberFormat="1" applyFont="1" applyFill="1" applyBorder="1" applyAlignment="1" applyProtection="1">
      <alignment horizontal="center" vertical="center" wrapText="1"/>
      <protection hidden="1"/>
    </xf>
    <xf numFmtId="1" fontId="26" fillId="9" borderId="5" xfId="9" applyNumberFormat="1" applyFont="1" applyFill="1" applyBorder="1" applyAlignment="1" applyProtection="1">
      <alignment horizontal="center" vertical="center" wrapText="1"/>
      <protection hidden="1"/>
    </xf>
    <xf numFmtId="1" fontId="26" fillId="3" borderId="5" xfId="9" applyNumberFormat="1" applyFont="1" applyFill="1" applyBorder="1" applyAlignment="1" applyProtection="1">
      <alignment horizontal="center" vertical="center" wrapText="1"/>
      <protection hidden="1"/>
    </xf>
    <xf numFmtId="1" fontId="26" fillId="3" borderId="7" xfId="9" applyNumberFormat="1" applyFont="1" applyFill="1" applyBorder="1" applyAlignment="1" applyProtection="1">
      <alignment horizontal="center" vertical="center" wrapText="1"/>
      <protection hidden="1"/>
    </xf>
    <xf numFmtId="1" fontId="37" fillId="4" borderId="13" xfId="0" applyNumberFormat="1" applyFont="1" applyFill="1" applyBorder="1" applyAlignment="1" applyProtection="1">
      <alignment horizontal="center" vertical="center" wrapText="1"/>
      <protection hidden="1"/>
    </xf>
    <xf numFmtId="3" fontId="37" fillId="4" borderId="18" xfId="0" applyNumberFormat="1" applyFont="1" applyFill="1" applyBorder="1" applyAlignment="1" applyProtection="1">
      <alignment horizontal="center" vertical="center" wrapText="1"/>
      <protection hidden="1"/>
    </xf>
    <xf numFmtId="1" fontId="37" fillId="4" borderId="20" xfId="0" applyNumberFormat="1" applyFont="1" applyFill="1" applyBorder="1" applyAlignment="1" applyProtection="1">
      <alignment horizontal="center" vertical="center" wrapText="1"/>
      <protection hidden="1"/>
    </xf>
    <xf numFmtId="3" fontId="37" fillId="4" borderId="13" xfId="0" applyNumberFormat="1" applyFont="1" applyFill="1" applyBorder="1" applyAlignment="1" applyProtection="1">
      <alignment horizontal="center" vertical="center" wrapText="1"/>
      <protection hidden="1"/>
    </xf>
    <xf numFmtId="1" fontId="37" fillId="4" borderId="18" xfId="0" applyNumberFormat="1" applyFont="1" applyFill="1" applyBorder="1" applyAlignment="1" applyProtection="1">
      <alignment horizontal="center" vertical="center" wrapText="1"/>
      <protection hidden="1"/>
    </xf>
    <xf numFmtId="0" fontId="4" fillId="9" borderId="5" xfId="0" applyFont="1" applyFill="1" applyBorder="1" applyAlignment="1" applyProtection="1">
      <alignment horizontal="center" vertical="center" wrapText="1"/>
      <protection hidden="1"/>
    </xf>
    <xf numFmtId="10" fontId="26" fillId="3" borderId="3" xfId="9" applyNumberFormat="1" applyFont="1" applyFill="1" applyBorder="1" applyAlignment="1" applyProtection="1">
      <alignment horizontal="center" vertical="center" wrapText="1"/>
      <protection hidden="1"/>
    </xf>
    <xf numFmtId="10" fontId="26" fillId="3" borderId="3" xfId="9" applyNumberFormat="1" applyFont="1" applyFill="1" applyBorder="1" applyAlignment="1" applyProtection="1">
      <alignment horizontal="right" vertical="center"/>
      <protection hidden="1"/>
    </xf>
    <xf numFmtId="10" fontId="26" fillId="0" borderId="3" xfId="0" applyNumberFormat="1" applyFont="1" applyBorder="1" applyAlignment="1" applyProtection="1">
      <alignment horizontal="right" vertical="center" wrapText="1"/>
      <protection hidden="1"/>
    </xf>
    <xf numFmtId="3" fontId="26" fillId="0" borderId="3" xfId="0" applyNumberFormat="1" applyFont="1" applyBorder="1" applyAlignment="1" applyProtection="1">
      <alignment vertical="center" wrapText="1"/>
      <protection hidden="1"/>
    </xf>
    <xf numFmtId="4" fontId="26" fillId="3" borderId="3" xfId="0" applyNumberFormat="1" applyFont="1" applyFill="1" applyBorder="1" applyAlignment="1" applyProtection="1">
      <alignment horizontal="right" vertical="center" wrapText="1"/>
      <protection hidden="1"/>
    </xf>
    <xf numFmtId="170" fontId="26" fillId="3" borderId="3" xfId="0" applyNumberFormat="1" applyFont="1" applyFill="1" applyBorder="1" applyAlignment="1" applyProtection="1">
      <alignment vertical="center"/>
      <protection hidden="1"/>
    </xf>
    <xf numFmtId="1" fontId="26" fillId="0" borderId="3" xfId="0" applyNumberFormat="1" applyFont="1" applyBorder="1" applyAlignment="1" applyProtection="1">
      <alignment horizontal="center" vertical="center" wrapText="1"/>
      <protection hidden="1"/>
    </xf>
    <xf numFmtId="1" fontId="26" fillId="0" borderId="3" xfId="0" quotePrefix="1" applyNumberFormat="1" applyFont="1" applyBorder="1" applyAlignment="1">
      <alignment horizontal="center" vertical="center"/>
    </xf>
    <xf numFmtId="0" fontId="26" fillId="0" borderId="3" xfId="0" applyFont="1" applyBorder="1" applyAlignment="1" applyProtection="1">
      <alignment horizontal="center" vertical="center"/>
      <protection hidden="1"/>
    </xf>
    <xf numFmtId="4" fontId="26" fillId="0" borderId="3" xfId="0" applyNumberFormat="1" applyFont="1" applyBorder="1" applyAlignment="1" applyProtection="1">
      <alignment horizontal="right" vertical="center" wrapText="1"/>
      <protection hidden="1"/>
    </xf>
    <xf numFmtId="4" fontId="26" fillId="0" borderId="3" xfId="0" applyNumberFormat="1" applyFont="1" applyBorder="1" applyAlignment="1" applyProtection="1">
      <alignment horizontal="center" vertical="center" wrapText="1"/>
      <protection hidden="1"/>
    </xf>
    <xf numFmtId="4" fontId="26" fillId="9" borderId="3" xfId="0" applyNumberFormat="1" applyFont="1" applyFill="1" applyBorder="1" applyAlignment="1" applyProtection="1">
      <alignment horizontal="right" vertical="center" wrapText="1"/>
      <protection hidden="1"/>
    </xf>
    <xf numFmtId="10" fontId="26" fillId="0" borderId="3" xfId="2" applyNumberFormat="1" applyFont="1" applyBorder="1" applyAlignment="1" applyProtection="1">
      <alignment horizontal="right" vertical="center" wrapText="1"/>
      <protection hidden="1"/>
    </xf>
    <xf numFmtId="10" fontId="26" fillId="9" borderId="3" xfId="2" applyNumberFormat="1" applyFont="1" applyFill="1" applyBorder="1" applyAlignment="1" applyProtection="1">
      <alignment horizontal="right" vertical="center" wrapText="1"/>
      <protection hidden="1"/>
    </xf>
    <xf numFmtId="10" fontId="9" fillId="0" borderId="0" xfId="2" applyNumberFormat="1" applyFont="1" applyAlignment="1">
      <alignment vertical="center"/>
    </xf>
    <xf numFmtId="0" fontId="31" fillId="0" borderId="0" xfId="0" applyFont="1" applyAlignment="1">
      <alignment vertical="center"/>
    </xf>
    <xf numFmtId="165" fontId="25" fillId="9" borderId="3" xfId="0" applyNumberFormat="1" applyFont="1" applyFill="1" applyBorder="1" applyAlignment="1" applyProtection="1">
      <alignment horizontal="center" vertical="center"/>
      <protection hidden="1"/>
    </xf>
    <xf numFmtId="4" fontId="26" fillId="11" borderId="3" xfId="0" applyNumberFormat="1" applyFont="1" applyFill="1" applyBorder="1" applyAlignment="1" applyProtection="1">
      <alignment horizontal="right" vertical="center" wrapText="1"/>
      <protection hidden="1"/>
    </xf>
    <xf numFmtId="0" fontId="4" fillId="11" borderId="5" xfId="0" applyFont="1" applyFill="1" applyBorder="1" applyAlignment="1" applyProtection="1">
      <alignment horizontal="center" vertical="center" wrapText="1"/>
      <protection hidden="1"/>
    </xf>
    <xf numFmtId="1" fontId="26" fillId="0" borderId="3" xfId="0" applyNumberFormat="1" applyFont="1" applyBorder="1" applyAlignment="1" applyProtection="1">
      <alignment horizontal="center" vertical="center"/>
      <protection hidden="1"/>
    </xf>
    <xf numFmtId="165" fontId="25" fillId="9" borderId="6" xfId="0" applyNumberFormat="1" applyFont="1" applyFill="1" applyBorder="1" applyAlignment="1" applyProtection="1">
      <alignment horizontal="center" vertical="center" wrapText="1"/>
      <protection hidden="1"/>
    </xf>
    <xf numFmtId="167" fontId="4" fillId="9" borderId="3" xfId="0" applyNumberFormat="1" applyFont="1" applyFill="1" applyBorder="1" applyAlignment="1" applyProtection="1">
      <alignment horizontal="center" vertical="center" wrapText="1"/>
      <protection hidden="1"/>
    </xf>
    <xf numFmtId="3" fontId="33" fillId="0" borderId="0" xfId="0" applyNumberFormat="1" applyFont="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33" fillId="0" borderId="0" xfId="0" applyFont="1" applyAlignment="1">
      <alignment horizontal="center" vertical="center"/>
    </xf>
    <xf numFmtId="4" fontId="26" fillId="12" borderId="3" xfId="0" applyNumberFormat="1" applyFont="1" applyFill="1" applyBorder="1" applyAlignment="1" applyProtection="1">
      <alignment horizontal="right" vertical="center" wrapText="1"/>
      <protection hidden="1"/>
    </xf>
    <xf numFmtId="0" fontId="5" fillId="12" borderId="3" xfId="0" applyFont="1" applyFill="1" applyBorder="1" applyAlignment="1" applyProtection="1">
      <alignment horizontal="center" vertical="center" wrapText="1"/>
      <protection hidden="1"/>
    </xf>
    <xf numFmtId="4" fontId="26" fillId="12" borderId="3" xfId="0" applyNumberFormat="1" applyFont="1" applyFill="1" applyBorder="1" applyAlignment="1" applyProtection="1">
      <alignment horizontal="center" vertical="center" wrapText="1"/>
      <protection hidden="1"/>
    </xf>
    <xf numFmtId="4" fontId="5" fillId="0" borderId="0" xfId="0" applyNumberFormat="1" applyFont="1" applyAlignment="1" applyProtection="1">
      <alignment horizontal="center" vertical="center" wrapText="1"/>
      <protection hidden="1"/>
    </xf>
    <xf numFmtId="4" fontId="25" fillId="9" borderId="3" xfId="0" applyNumberFormat="1" applyFont="1" applyFill="1" applyBorder="1" applyAlignment="1" applyProtection="1">
      <alignment horizontal="center" vertical="center" wrapText="1"/>
      <protection hidden="1"/>
    </xf>
    <xf numFmtId="0" fontId="25" fillId="0" borderId="3" xfId="0" applyFont="1" applyBorder="1" applyAlignment="1" applyProtection="1">
      <alignment vertical="center"/>
      <protection hidden="1"/>
    </xf>
    <xf numFmtId="0" fontId="38" fillId="5" borderId="25" xfId="0" applyFont="1" applyFill="1" applyBorder="1" applyAlignment="1" applyProtection="1">
      <alignment horizontal="center" vertical="center" wrapText="1"/>
      <protection hidden="1"/>
    </xf>
    <xf numFmtId="0" fontId="38" fillId="5" borderId="24" xfId="0" applyFont="1" applyFill="1" applyBorder="1" applyAlignment="1" applyProtection="1">
      <alignment horizontal="center" vertical="center" wrapText="1"/>
      <protection hidden="1"/>
    </xf>
    <xf numFmtId="0" fontId="38" fillId="5" borderId="26" xfId="0" applyFont="1" applyFill="1" applyBorder="1" applyAlignment="1" applyProtection="1">
      <alignment horizontal="center" vertical="center" wrapText="1"/>
      <protection hidden="1"/>
    </xf>
    <xf numFmtId="0" fontId="4" fillId="9" borderId="24" xfId="0" applyFont="1" applyFill="1" applyBorder="1" applyAlignment="1" applyProtection="1">
      <alignment horizontal="center" vertical="center" wrapText="1"/>
      <protection hidden="1"/>
    </xf>
    <xf numFmtId="1" fontId="26" fillId="9" borderId="3" xfId="0" applyNumberFormat="1" applyFont="1" applyFill="1" applyBorder="1" applyAlignment="1" applyProtection="1">
      <alignment horizontal="center" vertical="center"/>
      <protection locked="0"/>
    </xf>
    <xf numFmtId="0" fontId="28" fillId="0" borderId="0" xfId="0" applyFont="1" applyAlignment="1">
      <alignment vertical="center"/>
    </xf>
    <xf numFmtId="0" fontId="5" fillId="0" borderId="1" xfId="0" applyFont="1" applyBorder="1" applyAlignment="1" applyProtection="1">
      <alignment horizontal="center" vertical="center" wrapText="1"/>
      <protection hidden="1"/>
    </xf>
    <xf numFmtId="4" fontId="26" fillId="0" borderId="1" xfId="0" applyNumberFormat="1" applyFont="1" applyBorder="1" applyAlignment="1" applyProtection="1">
      <alignment horizontal="center" vertical="center" wrapText="1"/>
      <protection hidden="1"/>
    </xf>
    <xf numFmtId="0" fontId="25" fillId="0" borderId="3" xfId="0" applyFont="1" applyBorder="1" applyAlignment="1" applyProtection="1">
      <alignment horizontal="center" vertical="center" wrapText="1"/>
      <protection hidden="1"/>
    </xf>
    <xf numFmtId="1" fontId="37" fillId="4" borderId="3" xfId="0" applyNumberFormat="1" applyFont="1" applyFill="1" applyBorder="1" applyAlignment="1" applyProtection="1">
      <alignment horizontal="center" vertical="center" wrapText="1"/>
      <protection hidden="1"/>
    </xf>
    <xf numFmtId="0" fontId="31" fillId="0" borderId="3" xfId="0" applyFont="1" applyBorder="1" applyAlignment="1" applyProtection="1">
      <alignment horizontal="center" vertical="center" wrapText="1"/>
      <protection hidden="1"/>
    </xf>
    <xf numFmtId="164" fontId="31" fillId="0" borderId="0" xfId="0" applyNumberFormat="1" applyFont="1" applyAlignment="1">
      <alignment vertical="center"/>
    </xf>
    <xf numFmtId="0" fontId="33" fillId="0" borderId="3" xfId="0" applyFont="1" applyBorder="1" applyAlignment="1" applyProtection="1">
      <alignment horizontal="center" vertical="center"/>
      <protection hidden="1"/>
    </xf>
    <xf numFmtId="0" fontId="25" fillId="9" borderId="3" xfId="0" applyFont="1" applyFill="1" applyBorder="1" applyAlignment="1">
      <alignment horizontal="center" vertical="center" wrapText="1"/>
    </xf>
    <xf numFmtId="0" fontId="25" fillId="9" borderId="3" xfId="0" applyFont="1" applyFill="1" applyBorder="1" applyAlignment="1">
      <alignment horizontal="center" vertical="center"/>
    </xf>
    <xf numFmtId="164" fontId="25" fillId="0" borderId="3" xfId="0" applyNumberFormat="1" applyFont="1" applyBorder="1" applyAlignment="1" applyProtection="1">
      <alignment horizontal="center" vertical="center"/>
      <protection hidden="1"/>
    </xf>
    <xf numFmtId="164" fontId="25" fillId="0" borderId="3" xfId="0" applyNumberFormat="1" applyFont="1" applyBorder="1" applyAlignment="1" applyProtection="1">
      <alignment vertical="center"/>
      <protection hidden="1"/>
    </xf>
    <xf numFmtId="164" fontId="25" fillId="9" borderId="3" xfId="0" applyNumberFormat="1" applyFont="1" applyFill="1" applyBorder="1" applyAlignment="1" applyProtection="1">
      <alignment vertical="center"/>
      <protection hidden="1"/>
    </xf>
    <xf numFmtId="0" fontId="25" fillId="9" borderId="3" xfId="0" applyFont="1" applyFill="1" applyBorder="1" applyAlignment="1">
      <alignment vertical="center"/>
    </xf>
    <xf numFmtId="1" fontId="33" fillId="2" borderId="3" xfId="0" applyNumberFormat="1" applyFont="1" applyFill="1" applyBorder="1" applyAlignment="1" applyProtection="1">
      <alignment horizontal="center" vertical="center"/>
      <protection hidden="1"/>
    </xf>
    <xf numFmtId="0" fontId="33" fillId="2" borderId="3" xfId="0" applyFont="1" applyFill="1" applyBorder="1" applyAlignment="1" applyProtection="1">
      <alignment horizontal="center" vertical="center"/>
      <protection hidden="1"/>
    </xf>
    <xf numFmtId="1" fontId="33" fillId="2" borderId="3" xfId="0" applyNumberFormat="1" applyFont="1" applyFill="1" applyBorder="1" applyAlignment="1">
      <alignment horizontal="center" vertical="center"/>
    </xf>
    <xf numFmtId="0" fontId="25" fillId="0" borderId="3" xfId="0" applyFont="1" applyBorder="1" applyAlignment="1">
      <alignment horizontal="center" vertical="center" wrapText="1"/>
    </xf>
    <xf numFmtId="3" fontId="28" fillId="9" borderId="3" xfId="0" applyNumberFormat="1" applyFont="1" applyFill="1" applyBorder="1" applyAlignment="1" applyProtection="1">
      <alignment horizontal="center" vertical="center"/>
      <protection hidden="1"/>
    </xf>
    <xf numFmtId="173" fontId="35" fillId="0" borderId="3" xfId="0" applyNumberFormat="1" applyFont="1" applyBorder="1" applyAlignment="1">
      <alignment horizontal="center" vertical="center"/>
    </xf>
    <xf numFmtId="0" fontId="40" fillId="9" borderId="3" xfId="0" applyFont="1" applyFill="1" applyBorder="1" applyAlignment="1">
      <alignment horizontal="center" vertical="center" wrapText="1"/>
    </xf>
    <xf numFmtId="3" fontId="26" fillId="0" borderId="3" xfId="0" applyNumberFormat="1" applyFont="1" applyBorder="1" applyAlignment="1" applyProtection="1">
      <alignment horizontal="center" vertical="center"/>
      <protection hidden="1"/>
    </xf>
    <xf numFmtId="169" fontId="33" fillId="0" borderId="3" xfId="1" applyNumberFormat="1" applyFont="1" applyBorder="1" applyAlignment="1" applyProtection="1">
      <alignment horizontal="right" vertical="center" wrapText="1"/>
      <protection hidden="1"/>
    </xf>
    <xf numFmtId="174" fontId="32" fillId="13" borderId="3" xfId="2" applyNumberFormat="1" applyFont="1" applyFill="1" applyBorder="1" applyAlignment="1" applyProtection="1">
      <alignment horizontal="right" vertical="center" wrapText="1"/>
      <protection hidden="1"/>
    </xf>
    <xf numFmtId="174" fontId="32" fillId="9" borderId="3" xfId="2" applyNumberFormat="1" applyFont="1" applyFill="1" applyBorder="1" applyAlignment="1" applyProtection="1">
      <alignment horizontal="right" vertical="center" wrapText="1"/>
      <protection hidden="1"/>
    </xf>
    <xf numFmtId="174" fontId="32" fillId="10" borderId="3" xfId="2" applyNumberFormat="1" applyFont="1" applyFill="1" applyBorder="1" applyAlignment="1" applyProtection="1">
      <alignment horizontal="right" vertical="center" wrapText="1"/>
      <protection hidden="1"/>
    </xf>
    <xf numFmtId="166" fontId="25" fillId="0" borderId="3" xfId="0" applyNumberFormat="1" applyFont="1" applyBorder="1" applyAlignment="1" applyProtection="1">
      <alignment horizontal="center" vertical="center" wrapText="1"/>
      <protection hidden="1"/>
    </xf>
    <xf numFmtId="0" fontId="26" fillId="0" borderId="3" xfId="0" applyFont="1" applyBorder="1" applyAlignment="1">
      <alignment horizontal="center" vertical="center"/>
    </xf>
    <xf numFmtId="166" fontId="26" fillId="0" borderId="3" xfId="0" applyNumberFormat="1" applyFont="1" applyBorder="1" applyAlignment="1" applyProtection="1">
      <alignment horizontal="center" vertical="center" wrapText="1"/>
      <protection hidden="1"/>
    </xf>
    <xf numFmtId="167" fontId="26" fillId="0" borderId="3" xfId="0" applyNumberFormat="1" applyFont="1" applyBorder="1" applyAlignment="1" applyProtection="1">
      <alignment horizontal="center" vertical="center" wrapText="1"/>
      <protection hidden="1"/>
    </xf>
    <xf numFmtId="3" fontId="10" fillId="8" borderId="14" xfId="0" applyNumberFormat="1" applyFont="1" applyFill="1" applyBorder="1" applyAlignment="1" applyProtection="1">
      <alignment horizontal="center" vertical="center"/>
      <protection locked="0"/>
    </xf>
    <xf numFmtId="0" fontId="25" fillId="14" borderId="3" xfId="0" applyFont="1" applyFill="1" applyBorder="1" applyAlignment="1" applyProtection="1">
      <alignment horizontal="center" vertical="center" wrapText="1"/>
      <protection hidden="1"/>
    </xf>
    <xf numFmtId="4" fontId="26" fillId="14" borderId="3" xfId="0" applyNumberFormat="1" applyFont="1" applyFill="1" applyBorder="1" applyAlignment="1" applyProtection="1">
      <alignment horizontal="center" vertical="center" wrapText="1"/>
      <protection hidden="1"/>
    </xf>
    <xf numFmtId="0" fontId="23" fillId="2" borderId="3" xfId="11" applyFont="1" applyFill="1" applyBorder="1" applyAlignment="1">
      <alignment horizontal="center" vertical="center"/>
    </xf>
    <xf numFmtId="173" fontId="35" fillId="0" borderId="3" xfId="11" applyNumberFormat="1" applyFont="1" applyBorder="1" applyAlignment="1">
      <alignment horizontal="center" vertical="center"/>
    </xf>
    <xf numFmtId="3" fontId="43" fillId="2" borderId="3" xfId="0" applyNumberFormat="1" applyFont="1" applyFill="1" applyBorder="1" applyAlignment="1">
      <alignment horizontal="center" vertical="center"/>
    </xf>
    <xf numFmtId="0" fontId="43" fillId="2" borderId="3" xfId="0" applyFont="1" applyFill="1" applyBorder="1" applyAlignment="1">
      <alignment horizontal="center" vertical="center"/>
    </xf>
    <xf numFmtId="3" fontId="42" fillId="0" borderId="3" xfId="0" applyNumberFormat="1" applyFont="1" applyBorder="1" applyAlignment="1">
      <alignment horizontal="center" vertical="center"/>
    </xf>
    <xf numFmtId="0" fontId="42" fillId="0" borderId="3" xfId="0" applyFont="1" applyBorder="1" applyAlignment="1">
      <alignment horizontal="center" vertical="center"/>
    </xf>
    <xf numFmtId="0" fontId="43" fillId="2" borderId="3" xfId="0" applyFont="1" applyFill="1" applyBorder="1" applyAlignment="1" applyProtection="1">
      <alignment horizontal="center" vertical="center"/>
      <protection hidden="1"/>
    </xf>
    <xf numFmtId="0" fontId="42" fillId="0" borderId="0" xfId="0" applyFont="1" applyAlignment="1">
      <alignment horizontal="center" vertical="center"/>
    </xf>
    <xf numFmtId="0" fontId="35" fillId="0" borderId="27" xfId="0" applyFont="1" applyBorder="1" applyAlignment="1">
      <alignment horizontal="center" vertical="center"/>
    </xf>
    <xf numFmtId="0" fontId="35" fillId="0" borderId="28" xfId="0" applyFont="1" applyBorder="1" applyAlignment="1">
      <alignment horizontal="center" vertical="center"/>
    </xf>
    <xf numFmtId="4" fontId="41" fillId="0" borderId="3" xfId="0" applyNumberFormat="1" applyFont="1" applyBorder="1" applyAlignment="1">
      <alignment horizontal="center" vertical="center"/>
    </xf>
    <xf numFmtId="4" fontId="41" fillId="0" borderId="0" xfId="0" applyNumberFormat="1" applyFont="1" applyAlignment="1">
      <alignment horizontal="center" vertical="center"/>
    </xf>
    <xf numFmtId="0" fontId="43" fillId="0" borderId="0" xfId="0" applyFont="1" applyAlignment="1">
      <alignment horizontal="center" vertical="center"/>
    </xf>
    <xf numFmtId="166" fontId="29" fillId="0" borderId="0" xfId="0" applyNumberFormat="1" applyFont="1" applyAlignment="1" applyProtection="1">
      <alignment vertical="center" wrapText="1"/>
      <protection hidden="1"/>
    </xf>
    <xf numFmtId="10" fontId="23" fillId="2" borderId="9" xfId="2" applyNumberFormat="1" applyFont="1" applyFill="1" applyBorder="1" applyAlignment="1" applyProtection="1">
      <alignment horizontal="center" vertical="center" wrapText="1"/>
      <protection hidden="1"/>
    </xf>
    <xf numFmtId="0" fontId="35" fillId="0" borderId="29" xfId="0" applyFont="1" applyBorder="1" applyAlignment="1">
      <alignment horizontal="center" vertical="center"/>
    </xf>
    <xf numFmtId="10" fontId="24" fillId="9" borderId="30" xfId="2" applyNumberFormat="1" applyFont="1" applyFill="1" applyBorder="1" applyAlignment="1" applyProtection="1">
      <alignment horizontal="center" vertical="center" wrapText="1"/>
      <protection hidden="1"/>
    </xf>
    <xf numFmtId="10" fontId="24" fillId="9" borderId="31" xfId="2" applyNumberFormat="1" applyFont="1" applyFill="1" applyBorder="1" applyAlignment="1" applyProtection="1">
      <alignment horizontal="center" vertical="center" wrapText="1"/>
      <protection hidden="1"/>
    </xf>
    <xf numFmtId="0" fontId="35" fillId="0" borderId="32" xfId="0" applyFont="1" applyBorder="1" applyAlignment="1">
      <alignment horizontal="center" vertical="center"/>
    </xf>
    <xf numFmtId="10" fontId="41" fillId="2" borderId="3" xfId="2" applyNumberFormat="1" applyFont="1" applyFill="1" applyBorder="1" applyAlignment="1">
      <alignment horizontal="center" vertical="center"/>
    </xf>
    <xf numFmtId="10" fontId="25" fillId="10" borderId="3" xfId="2" applyNumberFormat="1" applyFont="1" applyFill="1" applyBorder="1" applyAlignment="1" applyProtection="1">
      <alignment horizontal="center" vertical="center" wrapText="1"/>
      <protection hidden="1"/>
    </xf>
    <xf numFmtId="4" fontId="25" fillId="10" borderId="3" xfId="0" applyNumberFormat="1" applyFont="1" applyFill="1" applyBorder="1" applyAlignment="1" applyProtection="1">
      <alignment horizontal="center" vertical="center" wrapText="1"/>
      <protection hidden="1"/>
    </xf>
    <xf numFmtId="1" fontId="37" fillId="4" borderId="2" xfId="0" applyNumberFormat="1" applyFont="1" applyFill="1" applyBorder="1" applyAlignment="1" applyProtection="1">
      <alignment horizontal="center" vertical="center" wrapText="1"/>
      <protection hidden="1"/>
    </xf>
    <xf numFmtId="1" fontId="37" fillId="4" borderId="1" xfId="0" applyNumberFormat="1" applyFont="1" applyFill="1" applyBorder="1" applyAlignment="1" applyProtection="1">
      <alignment horizontal="center" vertical="center" wrapText="1"/>
      <protection hidden="1"/>
    </xf>
    <xf numFmtId="1" fontId="37" fillId="4" borderId="21" xfId="0" applyNumberFormat="1" applyFont="1" applyFill="1" applyBorder="1" applyAlignment="1" applyProtection="1">
      <alignment horizontal="center" vertical="center" wrapText="1"/>
      <protection hidden="1"/>
    </xf>
    <xf numFmtId="0" fontId="0" fillId="0" borderId="0" xfId="0" applyAlignment="1">
      <alignment vertical="center"/>
    </xf>
    <xf numFmtId="0" fontId="5" fillId="0" borderId="0" xfId="0" applyFont="1" applyAlignment="1">
      <alignment vertical="center"/>
    </xf>
    <xf numFmtId="0" fontId="11" fillId="0" borderId="0" xfId="0" applyFont="1" applyAlignment="1">
      <alignment vertical="center"/>
    </xf>
    <xf numFmtId="0" fontId="39" fillId="0" borderId="0" xfId="0" applyFont="1" applyAlignment="1">
      <alignment vertical="center"/>
    </xf>
    <xf numFmtId="0" fontId="22" fillId="0" borderId="0" xfId="0" applyFont="1" applyAlignment="1">
      <alignment vertical="center"/>
    </xf>
    <xf numFmtId="164" fontId="28" fillId="0" borderId="3" xfId="0" applyNumberFormat="1" applyFont="1" applyBorder="1" applyAlignment="1" applyProtection="1">
      <alignment vertical="center" wrapText="1"/>
      <protection hidden="1"/>
    </xf>
    <xf numFmtId="175" fontId="10" fillId="8" borderId="14" xfId="0" applyNumberFormat="1" applyFont="1" applyFill="1" applyBorder="1" applyAlignment="1" applyProtection="1">
      <alignment horizontal="center" vertical="center"/>
      <protection locked="0"/>
    </xf>
    <xf numFmtId="10" fontId="10" fillId="8" borderId="14" xfId="2" applyNumberFormat="1" applyFont="1" applyFill="1" applyBorder="1" applyAlignment="1" applyProtection="1">
      <alignment horizontal="center" vertical="center"/>
      <protection locked="0"/>
    </xf>
    <xf numFmtId="175" fontId="26" fillId="0" borderId="1" xfId="0" applyNumberFormat="1" applyFont="1" applyBorder="1" applyAlignment="1" applyProtection="1">
      <alignment horizontal="right" vertical="center" wrapText="1"/>
      <protection hidden="1"/>
    </xf>
    <xf numFmtId="175" fontId="9" fillId="0" borderId="0" xfId="0" applyNumberFormat="1" applyFont="1" applyAlignment="1">
      <alignment vertical="center"/>
    </xf>
    <xf numFmtId="0" fontId="45" fillId="16" borderId="0" xfId="0" applyFont="1" applyFill="1" applyAlignment="1">
      <alignment vertical="center"/>
    </xf>
    <xf numFmtId="0" fontId="47" fillId="0" borderId="0" xfId="0" applyFont="1"/>
    <xf numFmtId="0" fontId="49" fillId="0" borderId="0" xfId="0" applyFont="1"/>
    <xf numFmtId="3" fontId="49" fillId="0" borderId="0" xfId="0" applyNumberFormat="1" applyFont="1" applyAlignment="1">
      <alignment horizontal="left"/>
    </xf>
    <xf numFmtId="0" fontId="52" fillId="0" borderId="0" xfId="0" applyFont="1"/>
    <xf numFmtId="0" fontId="53" fillId="0" borderId="0" xfId="0" applyFont="1" applyAlignment="1">
      <alignment vertical="top" wrapText="1"/>
    </xf>
    <xf numFmtId="0" fontId="54" fillId="0" borderId="0" xfId="0" applyFont="1" applyAlignment="1">
      <alignment vertical="top" wrapText="1"/>
    </xf>
    <xf numFmtId="0" fontId="54" fillId="0" borderId="0" xfId="0" applyFont="1"/>
    <xf numFmtId="0" fontId="51" fillId="0" borderId="0" xfId="0" applyFont="1"/>
    <xf numFmtId="0" fontId="51" fillId="0" borderId="0" xfId="0" applyFont="1" applyAlignment="1">
      <alignment vertical="center"/>
    </xf>
    <xf numFmtId="0" fontId="60" fillId="18" borderId="0" xfId="0" applyFont="1" applyFill="1" applyAlignment="1">
      <alignment horizontal="center" vertical="center"/>
    </xf>
    <xf numFmtId="10" fontId="62" fillId="19" borderId="0" xfId="0" applyNumberFormat="1" applyFont="1" applyFill="1" applyAlignment="1">
      <alignment horizontal="center" vertical="center"/>
    </xf>
    <xf numFmtId="0" fontId="62" fillId="19" borderId="0" xfId="0" applyFont="1" applyFill="1" applyAlignment="1">
      <alignment horizontal="center" vertical="center"/>
    </xf>
    <xf numFmtId="0" fontId="60" fillId="18" borderId="0" xfId="0" applyFont="1" applyFill="1" applyAlignment="1">
      <alignment horizontal="center" vertical="center" wrapText="1"/>
    </xf>
    <xf numFmtId="0" fontId="0" fillId="0" borderId="0" xfId="0" applyAlignment="1">
      <alignment horizontal="center"/>
    </xf>
    <xf numFmtId="0" fontId="61" fillId="0" borderId="0" xfId="0" applyFont="1" applyAlignment="1">
      <alignment horizontal="center" vertical="center" wrapText="1"/>
    </xf>
    <xf numFmtId="0" fontId="63" fillId="0" borderId="0" xfId="0" applyFont="1" applyAlignment="1">
      <alignment horizontal="center" vertical="center"/>
    </xf>
    <xf numFmtId="0" fontId="65" fillId="0" borderId="0" xfId="0" applyFont="1"/>
    <xf numFmtId="0" fontId="23" fillId="2" borderId="3" xfId="0" applyFont="1" applyFill="1" applyBorder="1" applyAlignment="1" applyProtection="1">
      <alignment horizontal="center" vertical="center" wrapText="1"/>
      <protection hidden="1"/>
    </xf>
    <xf numFmtId="2" fontId="62" fillId="19" borderId="0" xfId="0" applyNumberFormat="1" applyFont="1" applyFill="1" applyAlignment="1">
      <alignment horizontal="center" vertical="center"/>
    </xf>
    <xf numFmtId="14" fontId="67" fillId="0" borderId="0" xfId="0" applyNumberFormat="1" applyFont="1" applyAlignment="1">
      <alignment horizontal="right" textRotation="90"/>
    </xf>
    <xf numFmtId="0" fontId="67" fillId="0" borderId="0" xfId="0" applyFont="1" applyAlignment="1">
      <alignment horizontal="right" vertical="top"/>
    </xf>
    <xf numFmtId="10" fontId="64" fillId="20" borderId="14" xfId="2" applyNumberFormat="1" applyFont="1" applyFill="1" applyBorder="1" applyAlignment="1" applyProtection="1">
      <alignment horizontal="center" vertical="center"/>
    </xf>
    <xf numFmtId="176" fontId="16" fillId="0" borderId="3" xfId="7" applyNumberFormat="1" applyFont="1" applyBorder="1" applyAlignment="1">
      <alignment horizontal="center" vertical="center"/>
    </xf>
    <xf numFmtId="8" fontId="35" fillId="0" borderId="0" xfId="0" applyNumberFormat="1" applyFont="1" applyAlignment="1">
      <alignment vertical="center"/>
    </xf>
    <xf numFmtId="0" fontId="47" fillId="0" borderId="0" xfId="0" applyFont="1" applyAlignment="1">
      <alignment horizontal="left"/>
    </xf>
    <xf numFmtId="0" fontId="0" fillId="0" borderId="0" xfId="0" applyAlignment="1">
      <alignment horizontal="right"/>
    </xf>
    <xf numFmtId="0" fontId="45" fillId="15" borderId="0" xfId="0" applyFont="1" applyFill="1" applyAlignment="1">
      <alignment vertical="center"/>
    </xf>
    <xf numFmtId="0" fontId="5" fillId="0" borderId="33" xfId="0" applyFont="1" applyBorder="1" applyAlignment="1">
      <alignment vertical="center"/>
    </xf>
    <xf numFmtId="0" fontId="0" fillId="0" borderId="0" xfId="0" applyAlignment="1">
      <alignment horizontal="left"/>
    </xf>
    <xf numFmtId="0" fontId="66" fillId="0" borderId="0" xfId="0" applyFont="1" applyAlignment="1">
      <alignment horizontal="center" vertical="center"/>
    </xf>
    <xf numFmtId="3" fontId="10" fillId="20" borderId="14" xfId="0" applyNumberFormat="1" applyFont="1" applyFill="1" applyBorder="1" applyAlignment="1">
      <alignment horizontal="center" vertical="center"/>
    </xf>
    <xf numFmtId="3" fontId="45" fillId="15" borderId="0" xfId="0" applyNumberFormat="1" applyFont="1" applyFill="1" applyAlignment="1">
      <alignment vertical="center"/>
    </xf>
    <xf numFmtId="0" fontId="0" fillId="17" borderId="0" xfId="0" applyFill="1" applyAlignment="1">
      <alignment vertical="center"/>
    </xf>
    <xf numFmtId="0" fontId="5" fillId="17" borderId="0" xfId="0" applyFont="1" applyFill="1" applyAlignment="1">
      <alignment vertical="center"/>
    </xf>
    <xf numFmtId="0" fontId="7" fillId="0" borderId="0" xfId="0" applyFont="1" applyAlignment="1">
      <alignment vertical="center"/>
    </xf>
    <xf numFmtId="0" fontId="58" fillId="0" borderId="0" xfId="0" applyFont="1" applyAlignment="1">
      <alignment vertical="center"/>
    </xf>
    <xf numFmtId="0" fontId="6" fillId="0" borderId="0" xfId="0" applyFont="1" applyAlignment="1">
      <alignment vertical="center"/>
    </xf>
    <xf numFmtId="0" fontId="9" fillId="0" borderId="0" xfId="0" applyFont="1" applyAlignment="1">
      <alignment horizontal="left" vertical="center"/>
    </xf>
    <xf numFmtId="0" fontId="0" fillId="19" borderId="0" xfId="0" applyFill="1" applyAlignment="1">
      <alignment horizontal="center"/>
    </xf>
    <xf numFmtId="0" fontId="1" fillId="19" borderId="0" xfId="0" applyFont="1" applyFill="1" applyAlignment="1">
      <alignment horizontal="center"/>
    </xf>
    <xf numFmtId="0" fontId="46" fillId="15" borderId="0" xfId="0" applyFont="1" applyFill="1" applyAlignment="1">
      <alignment horizontal="center" vertical="center"/>
    </xf>
    <xf numFmtId="3" fontId="48" fillId="0" borderId="0" xfId="0" applyNumberFormat="1" applyFont="1" applyAlignment="1">
      <alignment horizontal="left" vertical="center" shrinkToFit="1"/>
    </xf>
    <xf numFmtId="3" fontId="48" fillId="0" borderId="0" xfId="0" applyNumberFormat="1" applyFont="1" applyAlignment="1">
      <alignment horizontal="left"/>
    </xf>
    <xf numFmtId="175" fontId="48" fillId="0" borderId="0" xfId="0" applyNumberFormat="1" applyFont="1" applyAlignment="1">
      <alignment horizontal="center"/>
    </xf>
    <xf numFmtId="0" fontId="54" fillId="0" borderId="0" xfId="0" applyFont="1" applyAlignment="1">
      <alignment horizontal="left" vertical="top" wrapText="1"/>
    </xf>
    <xf numFmtId="175" fontId="59" fillId="0" borderId="34" xfId="0" applyNumberFormat="1" applyFont="1" applyBorder="1" applyAlignment="1">
      <alignment horizontal="left"/>
    </xf>
    <xf numFmtId="175" fontId="59" fillId="0" borderId="35" xfId="0" applyNumberFormat="1" applyFont="1" applyBorder="1" applyAlignment="1">
      <alignment horizontal="left"/>
    </xf>
    <xf numFmtId="175" fontId="59" fillId="0" borderId="36" xfId="0" applyNumberFormat="1" applyFont="1" applyBorder="1" applyAlignment="1">
      <alignment horizontal="left"/>
    </xf>
    <xf numFmtId="3" fontId="50" fillId="0" borderId="37" xfId="0" applyNumberFormat="1" applyFont="1" applyBorder="1" applyAlignment="1">
      <alignment horizontal="right"/>
    </xf>
    <xf numFmtId="3" fontId="50" fillId="0" borderId="0" xfId="0" applyNumberFormat="1" applyFont="1" applyAlignment="1">
      <alignment horizontal="right"/>
    </xf>
    <xf numFmtId="3" fontId="50" fillId="0" borderId="38" xfId="0" applyNumberFormat="1" applyFont="1" applyBorder="1" applyAlignment="1">
      <alignment horizontal="right"/>
    </xf>
    <xf numFmtId="0" fontId="51" fillId="0" borderId="37" xfId="0" applyFont="1" applyBorder="1" applyAlignment="1">
      <alignment horizontal="center" vertical="center"/>
    </xf>
    <xf numFmtId="0" fontId="51" fillId="0" borderId="0" xfId="0" applyFont="1" applyAlignment="1">
      <alignment horizontal="center" vertical="center"/>
    </xf>
    <xf numFmtId="0" fontId="51" fillId="0" borderId="38" xfId="0" applyFont="1" applyBorder="1" applyAlignment="1">
      <alignment horizontal="center" vertical="center"/>
    </xf>
    <xf numFmtId="0" fontId="51" fillId="0" borderId="39" xfId="0" applyFont="1" applyBorder="1" applyAlignment="1">
      <alignment horizontal="center" vertical="center"/>
    </xf>
    <xf numFmtId="0" fontId="51" fillId="0" borderId="40" xfId="0" applyFont="1" applyBorder="1" applyAlignment="1">
      <alignment horizontal="center" vertical="center"/>
    </xf>
    <xf numFmtId="0" fontId="51" fillId="0" borderId="41" xfId="0" applyFont="1" applyBorder="1" applyAlignment="1">
      <alignment horizontal="center" vertical="center"/>
    </xf>
    <xf numFmtId="0" fontId="56" fillId="0" borderId="0" xfId="0" applyFont="1" applyAlignment="1">
      <alignment horizontal="left" vertical="top" wrapText="1"/>
    </xf>
    <xf numFmtId="0" fontId="55" fillId="0" borderId="0" xfId="0" applyFont="1" applyAlignment="1">
      <alignment horizontal="left" vertical="top" wrapText="1"/>
    </xf>
    <xf numFmtId="0" fontId="57" fillId="0" borderId="0" xfId="0" applyFont="1" applyAlignment="1">
      <alignment horizontal="left" vertical="top" wrapText="1"/>
    </xf>
    <xf numFmtId="1" fontId="37" fillId="4" borderId="22" xfId="0" applyNumberFormat="1" applyFont="1" applyFill="1" applyBorder="1" applyAlignment="1" applyProtection="1">
      <alignment horizontal="center" vertical="center" wrapText="1"/>
      <protection hidden="1"/>
    </xf>
    <xf numFmtId="1" fontId="37" fillId="4" borderId="0" xfId="0" applyNumberFormat="1" applyFont="1" applyFill="1" applyAlignment="1" applyProtection="1">
      <alignment horizontal="center" vertical="center" wrapText="1"/>
      <protection hidden="1"/>
    </xf>
    <xf numFmtId="1" fontId="37" fillId="4" borderId="23" xfId="0" applyNumberFormat="1" applyFont="1" applyFill="1" applyBorder="1" applyAlignment="1" applyProtection="1">
      <alignment horizontal="center" vertical="center" wrapText="1"/>
      <protection hidden="1"/>
    </xf>
    <xf numFmtId="0" fontId="26" fillId="0" borderId="7" xfId="0" applyFont="1" applyBorder="1" applyAlignment="1" applyProtection="1">
      <alignment horizontal="center" vertical="center" wrapText="1"/>
      <protection hidden="1"/>
    </xf>
    <xf numFmtId="0" fontId="26" fillId="0" borderId="15" xfId="0" applyFont="1" applyBorder="1" applyAlignment="1" applyProtection="1">
      <alignment horizontal="center" vertical="center" wrapText="1"/>
      <protection hidden="1"/>
    </xf>
    <xf numFmtId="0" fontId="26" fillId="0" borderId="8" xfId="0" applyFont="1" applyBorder="1" applyAlignment="1" applyProtection="1">
      <alignment horizontal="center" vertical="center" wrapText="1"/>
      <protection hidden="1"/>
    </xf>
    <xf numFmtId="0" fontId="28" fillId="0" borderId="3" xfId="0" applyFont="1" applyBorder="1" applyAlignment="1">
      <alignment horizontal="center" vertical="center"/>
    </xf>
    <xf numFmtId="0" fontId="25" fillId="14" borderId="7" xfId="0" applyFont="1" applyFill="1" applyBorder="1" applyAlignment="1" applyProtection="1">
      <alignment horizontal="center" vertical="center" wrapText="1"/>
      <protection hidden="1"/>
    </xf>
    <xf numFmtId="0" fontId="25" fillId="14" borderId="15" xfId="0" applyFont="1" applyFill="1" applyBorder="1" applyAlignment="1" applyProtection="1">
      <alignment horizontal="center" vertical="center" wrapText="1"/>
      <protection hidden="1"/>
    </xf>
    <xf numFmtId="0" fontId="25" fillId="14" borderId="8" xfId="0" applyFont="1" applyFill="1" applyBorder="1" applyAlignment="1" applyProtection="1">
      <alignment horizontal="center" vertical="center" wrapText="1"/>
      <protection hidden="1"/>
    </xf>
    <xf numFmtId="0" fontId="4" fillId="11" borderId="5" xfId="0" applyFont="1" applyFill="1" applyBorder="1" applyAlignment="1" applyProtection="1">
      <alignment horizontal="center" vertical="center" wrapText="1"/>
      <protection hidden="1"/>
    </xf>
    <xf numFmtId="0" fontId="4" fillId="11" borderId="17" xfId="0" applyFont="1" applyFill="1" applyBorder="1" applyAlignment="1" applyProtection="1">
      <alignment horizontal="center" vertical="center" wrapText="1"/>
      <protection hidden="1"/>
    </xf>
    <xf numFmtId="0" fontId="4" fillId="11" borderId="11" xfId="0" applyFont="1" applyFill="1" applyBorder="1" applyAlignment="1" applyProtection="1">
      <alignment horizontal="center" vertical="center" wrapText="1"/>
      <protection hidden="1"/>
    </xf>
    <xf numFmtId="0" fontId="25" fillId="11" borderId="1" xfId="0" applyFont="1" applyFill="1" applyBorder="1" applyAlignment="1" applyProtection="1">
      <alignment horizontal="center" vertical="center" wrapText="1"/>
      <protection hidden="1"/>
    </xf>
    <xf numFmtId="0" fontId="25" fillId="11" borderId="4" xfId="0" applyFont="1" applyFill="1" applyBorder="1" applyAlignment="1" applyProtection="1">
      <alignment horizontal="center" vertical="center" wrapText="1"/>
      <protection hidden="1"/>
    </xf>
    <xf numFmtId="0" fontId="25" fillId="11" borderId="2" xfId="0" applyFont="1" applyFill="1" applyBorder="1" applyAlignment="1" applyProtection="1">
      <alignment horizontal="center" vertical="center" wrapText="1"/>
      <protection hidden="1"/>
    </xf>
    <xf numFmtId="164" fontId="27" fillId="0" borderId="3" xfId="0" applyNumberFormat="1" applyFont="1" applyBorder="1" applyAlignment="1">
      <alignment horizontal="left" vertical="center"/>
    </xf>
    <xf numFmtId="164" fontId="24" fillId="0" borderId="3" xfId="0" applyNumberFormat="1" applyFont="1" applyBorder="1" applyAlignment="1">
      <alignment horizontal="left" vertical="center"/>
    </xf>
    <xf numFmtId="164" fontId="28" fillId="0" borderId="3" xfId="0" applyNumberFormat="1" applyFont="1" applyBorder="1" applyAlignment="1">
      <alignment horizontal="center" vertical="center"/>
    </xf>
    <xf numFmtId="1" fontId="26" fillId="0" borderId="3" xfId="0" applyNumberFormat="1" applyFont="1" applyBorder="1" applyAlignment="1" applyProtection="1">
      <alignment horizontal="center" vertical="center"/>
      <protection hidden="1"/>
    </xf>
    <xf numFmtId="165" fontId="5" fillId="0" borderId="5" xfId="0" applyNumberFormat="1" applyFont="1" applyBorder="1" applyAlignment="1" applyProtection="1">
      <alignment horizontal="center" vertical="center" wrapText="1"/>
      <protection hidden="1"/>
    </xf>
    <xf numFmtId="165" fontId="5" fillId="0" borderId="9" xfId="0" applyNumberFormat="1" applyFont="1" applyBorder="1" applyAlignment="1" applyProtection="1">
      <alignment horizontal="center" vertical="center" wrapText="1"/>
      <protection hidden="1"/>
    </xf>
    <xf numFmtId="0" fontId="5" fillId="0" borderId="5" xfId="0" applyFont="1" applyBorder="1" applyAlignment="1" applyProtection="1">
      <alignment horizontal="center" vertical="center" wrapText="1"/>
      <protection hidden="1"/>
    </xf>
    <xf numFmtId="0" fontId="5" fillId="0" borderId="10" xfId="0" applyFont="1" applyBorder="1" applyAlignment="1" applyProtection="1">
      <alignment horizontal="center" vertical="center" wrapText="1"/>
      <protection hidden="1"/>
    </xf>
    <xf numFmtId="3" fontId="5" fillId="0" borderId="7" xfId="0" applyNumberFormat="1" applyFont="1" applyBorder="1" applyAlignment="1" applyProtection="1">
      <alignment horizontal="center" vertical="center" wrapText="1"/>
      <protection hidden="1"/>
    </xf>
    <xf numFmtId="3" fontId="5" fillId="0" borderId="19" xfId="0" applyNumberFormat="1" applyFont="1" applyBorder="1" applyAlignment="1" applyProtection="1">
      <alignment horizontal="center" vertical="center" wrapText="1"/>
      <protection hidden="1"/>
    </xf>
    <xf numFmtId="10" fontId="36" fillId="3" borderId="7" xfId="9" applyNumberFormat="1" applyFont="1" applyFill="1" applyBorder="1" applyAlignment="1" applyProtection="1">
      <alignment horizontal="center" vertical="center"/>
      <protection hidden="1"/>
    </xf>
    <xf numFmtId="10" fontId="36" fillId="3" borderId="15" xfId="9" applyNumberFormat="1" applyFont="1" applyFill="1" applyBorder="1" applyAlignment="1" applyProtection="1">
      <alignment horizontal="center" vertical="center"/>
      <protection hidden="1"/>
    </xf>
    <xf numFmtId="10" fontId="36" fillId="3" borderId="11" xfId="9" applyNumberFormat="1" applyFont="1" applyFill="1" applyBorder="1" applyAlignment="1" applyProtection="1">
      <alignment horizontal="center" vertical="center"/>
      <protection hidden="1"/>
    </xf>
    <xf numFmtId="10" fontId="36" fillId="3" borderId="16" xfId="9" applyNumberFormat="1" applyFont="1" applyFill="1" applyBorder="1" applyAlignment="1" applyProtection="1">
      <alignment horizontal="center" vertical="center"/>
      <protection hidden="1"/>
    </xf>
    <xf numFmtId="10" fontId="28" fillId="3" borderId="3" xfId="9" applyNumberFormat="1" applyFont="1" applyFill="1" applyBorder="1" applyAlignment="1" applyProtection="1">
      <alignment horizontal="center" vertical="center" wrapText="1"/>
      <protection hidden="1"/>
    </xf>
    <xf numFmtId="4" fontId="25" fillId="3" borderId="3" xfId="0" applyNumberFormat="1" applyFont="1" applyFill="1" applyBorder="1" applyAlignment="1" applyProtection="1">
      <alignment horizontal="center" vertical="center" wrapText="1"/>
      <protection hidden="1"/>
    </xf>
    <xf numFmtId="0" fontId="25" fillId="11" borderId="3" xfId="0" applyFont="1" applyFill="1" applyBorder="1" applyAlignment="1" applyProtection="1">
      <alignment horizontal="center" vertical="center" wrapText="1"/>
      <protection hidden="1"/>
    </xf>
    <xf numFmtId="0" fontId="25" fillId="0" borderId="1" xfId="11" applyFont="1" applyBorder="1" applyAlignment="1">
      <alignment horizontal="center" vertical="center"/>
    </xf>
    <xf numFmtId="0" fontId="25" fillId="0" borderId="2" xfId="11" applyFont="1" applyBorder="1" applyAlignment="1">
      <alignment horizontal="center" vertical="center"/>
    </xf>
    <xf numFmtId="0" fontId="25" fillId="0" borderId="11" xfId="11" applyFont="1" applyBorder="1" applyAlignment="1">
      <alignment horizontal="center" vertical="center"/>
    </xf>
    <xf numFmtId="0" fontId="25" fillId="0" borderId="12" xfId="11" applyFont="1" applyBorder="1" applyAlignment="1">
      <alignment horizontal="center" vertical="center"/>
    </xf>
    <xf numFmtId="0" fontId="25" fillId="0" borderId="17" xfId="11" applyFont="1" applyBorder="1" applyAlignment="1">
      <alignment horizontal="center" vertical="center" wrapText="1"/>
    </xf>
    <xf numFmtId="0" fontId="25" fillId="0" borderId="17" xfId="11" applyFont="1" applyBorder="1" applyAlignment="1">
      <alignment horizontal="center" vertical="center"/>
    </xf>
    <xf numFmtId="0" fontId="25" fillId="0" borderId="9" xfId="11" applyFont="1" applyBorder="1" applyAlignment="1">
      <alignment horizontal="center" vertical="center"/>
    </xf>
    <xf numFmtId="0" fontId="12" fillId="0" borderId="3" xfId="0" applyFont="1" applyBorder="1" applyAlignment="1">
      <alignment horizontal="center" vertical="center"/>
    </xf>
    <xf numFmtId="0" fontId="42" fillId="0" borderId="3" xfId="0" applyFont="1" applyBorder="1" applyAlignment="1">
      <alignment horizontal="center" vertical="center"/>
    </xf>
    <xf numFmtId="0" fontId="41" fillId="2" borderId="3" xfId="0" applyFont="1" applyFill="1" applyBorder="1" applyAlignment="1">
      <alignment horizontal="center" vertical="center"/>
    </xf>
    <xf numFmtId="0" fontId="43" fillId="2" borderId="3" xfId="0" applyFont="1" applyFill="1" applyBorder="1" applyAlignment="1">
      <alignment horizontal="center" vertical="center"/>
    </xf>
    <xf numFmtId="2" fontId="41" fillId="2" borderId="3" xfId="0" applyNumberFormat="1" applyFont="1" applyFill="1" applyBorder="1" applyAlignment="1">
      <alignment horizontal="center" vertical="center" wrapText="1"/>
    </xf>
    <xf numFmtId="4" fontId="41" fillId="0" borderId="3" xfId="0" applyNumberFormat="1" applyFont="1" applyBorder="1" applyAlignment="1">
      <alignment horizontal="center" vertical="center"/>
    </xf>
    <xf numFmtId="0" fontId="43" fillId="0" borderId="3" xfId="0" applyFont="1" applyBorder="1" applyAlignment="1">
      <alignment horizontal="center" vertical="center"/>
    </xf>
    <xf numFmtId="4" fontId="41" fillId="2" borderId="5" xfId="0" applyNumberFormat="1" applyFont="1" applyFill="1" applyBorder="1" applyAlignment="1">
      <alignment horizontal="center" vertical="center"/>
    </xf>
    <xf numFmtId="4" fontId="41" fillId="2" borderId="9" xfId="0" applyNumberFormat="1" applyFont="1" applyFill="1" applyBorder="1" applyAlignment="1">
      <alignment horizontal="center" vertical="center"/>
    </xf>
    <xf numFmtId="0" fontId="25" fillId="0" borderId="1" xfId="0" applyFont="1" applyBorder="1" applyAlignment="1" applyProtection="1">
      <alignment horizontal="center" vertical="center" wrapText="1"/>
      <protection hidden="1"/>
    </xf>
    <xf numFmtId="0" fontId="25" fillId="0" borderId="4" xfId="0" applyFont="1" applyBorder="1" applyAlignment="1" applyProtection="1">
      <alignment horizontal="center" vertical="center" wrapText="1"/>
      <protection hidden="1"/>
    </xf>
    <xf numFmtId="0" fontId="25" fillId="0" borderId="2" xfId="0" applyFont="1" applyBorder="1" applyAlignment="1" applyProtection="1">
      <alignment horizontal="center" vertical="center" wrapText="1"/>
      <protection hidden="1"/>
    </xf>
    <xf numFmtId="0" fontId="26" fillId="0" borderId="0" xfId="0" applyFont="1" applyAlignment="1">
      <alignment horizontal="center" vertical="center" wrapText="1"/>
    </xf>
    <xf numFmtId="1" fontId="37" fillId="4" borderId="13" xfId="0" applyNumberFormat="1" applyFont="1" applyFill="1" applyBorder="1" applyAlignment="1" applyProtection="1">
      <alignment horizontal="center" vertical="center" wrapText="1"/>
      <protection hidden="1"/>
    </xf>
    <xf numFmtId="0" fontId="5" fillId="0" borderId="7" xfId="0" applyFont="1" applyBorder="1" applyAlignment="1" applyProtection="1">
      <alignment horizontal="center" vertical="center" wrapText="1"/>
      <protection hidden="1"/>
    </xf>
    <xf numFmtId="0" fontId="5" fillId="0" borderId="19" xfId="0" applyFont="1" applyBorder="1" applyAlignment="1" applyProtection="1">
      <alignment horizontal="center" vertical="center" wrapText="1"/>
      <protection hidden="1"/>
    </xf>
    <xf numFmtId="4" fontId="5" fillId="0" borderId="5" xfId="0" applyNumberFormat="1" applyFont="1" applyBorder="1" applyAlignment="1" applyProtection="1">
      <alignment horizontal="center" vertical="center" wrapText="1"/>
      <protection hidden="1"/>
    </xf>
    <xf numFmtId="4" fontId="5" fillId="0" borderId="10" xfId="0" applyNumberFormat="1" applyFont="1" applyBorder="1" applyAlignment="1" applyProtection="1">
      <alignment horizontal="center" vertical="center" wrapText="1"/>
      <protection hidden="1"/>
    </xf>
    <xf numFmtId="4" fontId="4" fillId="0" borderId="10" xfId="0" applyNumberFormat="1" applyFont="1" applyBorder="1" applyAlignment="1" applyProtection="1">
      <alignment horizontal="center" vertical="center" wrapText="1"/>
      <protection hidden="1"/>
    </xf>
    <xf numFmtId="166" fontId="4" fillId="0" borderId="11" xfId="0" applyNumberFormat="1" applyFont="1" applyBorder="1" applyAlignment="1" applyProtection="1">
      <alignment horizontal="center" vertical="center" wrapText="1"/>
      <protection hidden="1"/>
    </xf>
    <xf numFmtId="166" fontId="4" fillId="0" borderId="16" xfId="0" applyNumberFormat="1" applyFont="1" applyBorder="1" applyAlignment="1" applyProtection="1">
      <alignment horizontal="center" vertical="center" wrapText="1"/>
      <protection hidden="1"/>
    </xf>
    <xf numFmtId="166" fontId="28" fillId="0" borderId="5" xfId="0" applyNumberFormat="1" applyFont="1" applyBorder="1" applyAlignment="1" applyProtection="1">
      <alignment horizontal="center" vertical="center" wrapText="1"/>
      <protection hidden="1"/>
    </xf>
    <xf numFmtId="166" fontId="28" fillId="0" borderId="9" xfId="0" applyNumberFormat="1" applyFont="1" applyBorder="1" applyAlignment="1" applyProtection="1">
      <alignment horizontal="center" vertical="center" wrapText="1"/>
      <protection hidden="1"/>
    </xf>
    <xf numFmtId="166" fontId="29" fillId="0" borderId="7" xfId="0" applyNumberFormat="1" applyFont="1" applyBorder="1" applyAlignment="1" applyProtection="1">
      <alignment horizontal="center" vertical="center" wrapText="1"/>
      <protection hidden="1"/>
    </xf>
    <xf numFmtId="166" fontId="29" fillId="0" borderId="15" xfId="0" applyNumberFormat="1" applyFont="1" applyBorder="1" applyAlignment="1" applyProtection="1">
      <alignment horizontal="center" vertical="center" wrapText="1"/>
      <protection hidden="1"/>
    </xf>
    <xf numFmtId="166" fontId="29" fillId="0" borderId="8" xfId="0" applyNumberFormat="1" applyFont="1" applyBorder="1" applyAlignment="1" applyProtection="1">
      <alignment horizontal="center" vertical="center" wrapText="1"/>
      <protection hidden="1"/>
    </xf>
    <xf numFmtId="166" fontId="29" fillId="0" borderId="11" xfId="0" applyNumberFormat="1" applyFont="1" applyBorder="1" applyAlignment="1" applyProtection="1">
      <alignment horizontal="center" vertical="center" wrapText="1"/>
      <protection hidden="1"/>
    </xf>
    <xf numFmtId="166" fontId="29" fillId="0" borderId="16" xfId="0" applyNumberFormat="1" applyFont="1" applyBorder="1" applyAlignment="1" applyProtection="1">
      <alignment horizontal="center" vertical="center" wrapText="1"/>
      <protection hidden="1"/>
    </xf>
    <xf numFmtId="166" fontId="29" fillId="0" borderId="12" xfId="0" applyNumberFormat="1" applyFont="1" applyBorder="1" applyAlignment="1" applyProtection="1">
      <alignment horizontal="center" vertical="center" wrapText="1"/>
      <protection hidden="1"/>
    </xf>
    <xf numFmtId="0" fontId="28" fillId="0" borderId="1" xfId="0" applyFont="1" applyBorder="1" applyAlignment="1" applyProtection="1">
      <alignment horizontal="center" vertical="center"/>
      <protection hidden="1"/>
    </xf>
    <xf numFmtId="0" fontId="28" fillId="0" borderId="2" xfId="0" applyFont="1" applyBorder="1" applyAlignment="1" applyProtection="1">
      <alignment horizontal="center" vertical="center"/>
      <protection hidden="1"/>
    </xf>
    <xf numFmtId="0" fontId="5" fillId="0" borderId="2" xfId="0" applyFont="1" applyBorder="1" applyAlignment="1" applyProtection="1">
      <alignment horizontal="center" vertical="center" wrapText="1"/>
      <protection hidden="1"/>
    </xf>
    <xf numFmtId="0" fontId="5" fillId="0" borderId="3" xfId="0" applyFont="1" applyBorder="1" applyAlignment="1" applyProtection="1">
      <alignment horizontal="center" vertical="center"/>
      <protection hidden="1"/>
    </xf>
    <xf numFmtId="3" fontId="5" fillId="0" borderId="5" xfId="0" applyNumberFormat="1" applyFont="1" applyBorder="1" applyAlignment="1" applyProtection="1">
      <alignment horizontal="center" vertical="center" wrapText="1"/>
      <protection hidden="1"/>
    </xf>
    <xf numFmtId="3" fontId="5" fillId="0" borderId="10" xfId="0" applyNumberFormat="1" applyFont="1" applyBorder="1" applyAlignment="1" applyProtection="1">
      <alignment horizontal="center" vertical="center" wrapText="1"/>
      <protection hidden="1"/>
    </xf>
    <xf numFmtId="166" fontId="29" fillId="0" borderId="5" xfId="0" applyNumberFormat="1" applyFont="1" applyBorder="1" applyAlignment="1" applyProtection="1">
      <alignment horizontal="center" vertical="center" wrapText="1"/>
      <protection hidden="1"/>
    </xf>
    <xf numFmtId="166" fontId="29" fillId="0" borderId="17" xfId="0" applyNumberFormat="1" applyFont="1" applyBorder="1" applyAlignment="1" applyProtection="1">
      <alignment horizontal="center" vertical="center" wrapText="1"/>
      <protection hidden="1"/>
    </xf>
    <xf numFmtId="166" fontId="29" fillId="0" borderId="9" xfId="0" applyNumberFormat="1" applyFont="1" applyBorder="1" applyAlignment="1" applyProtection="1">
      <alignment horizontal="center" vertical="center" wrapText="1"/>
      <protection hidden="1"/>
    </xf>
    <xf numFmtId="0" fontId="14" fillId="0" borderId="0" xfId="7" applyFont="1" applyAlignment="1">
      <alignment horizontal="center" vertical="center"/>
    </xf>
    <xf numFmtId="0" fontId="16" fillId="0" borderId="3" xfId="7" applyFont="1" applyBorder="1" applyAlignment="1">
      <alignment horizontal="center" vertical="center"/>
    </xf>
    <xf numFmtId="0" fontId="12" fillId="0" borderId="1" xfId="7" applyFont="1" applyBorder="1" applyAlignment="1">
      <alignment horizontal="center" vertical="center"/>
    </xf>
    <xf numFmtId="0" fontId="12" fillId="0" borderId="4" xfId="7" applyFont="1" applyBorder="1" applyAlignment="1">
      <alignment horizontal="center" vertical="center"/>
    </xf>
    <xf numFmtId="0" fontId="12" fillId="0" borderId="2" xfId="7" applyFont="1" applyBorder="1" applyAlignment="1">
      <alignment horizontal="center" vertical="center"/>
    </xf>
  </cellXfs>
  <cellStyles count="17">
    <cellStyle name="Euro" xfId="4" xr:uid="{00000000-0005-0000-0000-000000000000}"/>
    <cellStyle name="Euro 2" xfId="5" xr:uid="{00000000-0005-0000-0000-000001000000}"/>
    <cellStyle name="Euro 2 2" xfId="12" xr:uid="{00000000-0005-0000-0000-000002000000}"/>
    <cellStyle name="Milliers" xfId="1" builtinId="3"/>
    <cellStyle name="Milliers 2" xfId="6" xr:uid="{00000000-0005-0000-0000-000004000000}"/>
    <cellStyle name="Milliers 2 2" xfId="13" xr:uid="{00000000-0005-0000-0000-000005000000}"/>
    <cellStyle name="Normal" xfId="0" builtinId="0"/>
    <cellStyle name="Normal 2" xfId="7" xr:uid="{00000000-0005-0000-0000-000007000000}"/>
    <cellStyle name="Normal 2 2" xfId="14" xr:uid="{00000000-0005-0000-0000-000008000000}"/>
    <cellStyle name="Normal 3" xfId="10" xr:uid="{00000000-0005-0000-0000-000009000000}"/>
    <cellStyle name="Normal 4" xfId="11" xr:uid="{00000000-0005-0000-0000-00000A000000}"/>
    <cellStyle name="Normal_CALCULS RETENUES ok" xfId="3" xr:uid="{00000000-0005-0000-0000-00000B000000}"/>
    <cellStyle name="Pourcentage" xfId="2" builtinId="5"/>
    <cellStyle name="Pourcentage 2" xfId="8" xr:uid="{00000000-0005-0000-0000-00000D000000}"/>
    <cellStyle name="Pourcentage 2 2" xfId="15" xr:uid="{00000000-0005-0000-0000-00000E000000}"/>
    <cellStyle name="Pourcentage 3" xfId="9" xr:uid="{00000000-0005-0000-0000-00000F000000}"/>
    <cellStyle name="Pourcentage 3 2" xfId="16" xr:uid="{00000000-0005-0000-0000-000010000000}"/>
  </cellStyles>
  <dxfs count="0"/>
  <tableStyles count="0" defaultTableStyle="TableStyleMedium2" defaultPivotStyle="PivotStyleLight16"/>
  <colors>
    <mruColors>
      <color rgb="FFCCFFCC"/>
      <color rgb="FF00A3B0"/>
      <color rgb="FF48A0AD"/>
      <color rgb="FFFFFF99"/>
      <color rgb="FF74B23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3</xdr:col>
      <xdr:colOff>2832070</xdr:colOff>
      <xdr:row>1</xdr:row>
      <xdr:rowOff>130594</xdr:rowOff>
    </xdr:from>
    <xdr:to>
      <xdr:col>3</xdr:col>
      <xdr:colOff>3501696</xdr:colOff>
      <xdr:row>1</xdr:row>
      <xdr:rowOff>694766</xdr:rowOff>
    </xdr:to>
    <xdr:pic macro="[0]!Export_PLV_en_PDF">
      <xdr:nvPicPr>
        <xdr:cNvPr id="2" name="Image 1" descr="Icône gratuite de printer | FreeImages">
          <a:extLst>
            <a:ext uri="{FF2B5EF4-FFF2-40B4-BE49-F238E27FC236}">
              <a16:creationId xmlns:a16="http://schemas.microsoft.com/office/drawing/2014/main" id="{ED9EEC09-E023-8844-0BCC-FA6A7604FB4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57532" y="299113"/>
          <a:ext cx="669626" cy="56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175117</xdr:colOff>
      <xdr:row>10</xdr:row>
      <xdr:rowOff>102322</xdr:rowOff>
    </xdr:from>
    <xdr:to>
      <xdr:col>5</xdr:col>
      <xdr:colOff>44063</xdr:colOff>
      <xdr:row>23</xdr:row>
      <xdr:rowOff>281616</xdr:rowOff>
    </xdr:to>
    <xdr:pic>
      <xdr:nvPicPr>
        <xdr:cNvPr id="4" name="Image 3">
          <a:extLst>
            <a:ext uri="{FF2B5EF4-FFF2-40B4-BE49-F238E27FC236}">
              <a16:creationId xmlns:a16="http://schemas.microsoft.com/office/drawing/2014/main" id="{1DE14575-00C5-9C17-34F9-9A39B47E4D85}"/>
            </a:ext>
          </a:extLst>
        </xdr:cNvPr>
        <xdr:cNvPicPr>
          <a:picLocks noChangeAspect="1"/>
        </xdr:cNvPicPr>
      </xdr:nvPicPr>
      <xdr:blipFill>
        <a:blip xmlns:r="http://schemas.openxmlformats.org/officeDocument/2006/relationships" r:embed="rId1"/>
        <a:stretch>
          <a:fillRect/>
        </a:stretch>
      </xdr:blipFill>
      <xdr:spPr>
        <a:xfrm>
          <a:off x="175117" y="4906235"/>
          <a:ext cx="6445337" cy="2423881"/>
        </a:xfrm>
        <a:prstGeom prst="rect">
          <a:avLst/>
        </a:prstGeom>
      </xdr:spPr>
    </xdr:pic>
    <xdr:clientData/>
  </xdr:twoCellAnchor>
  <xdr:twoCellAnchor editAs="oneCell">
    <xdr:from>
      <xdr:col>3</xdr:col>
      <xdr:colOff>725365</xdr:colOff>
      <xdr:row>4</xdr:row>
      <xdr:rowOff>197827</xdr:rowOff>
    </xdr:from>
    <xdr:to>
      <xdr:col>5</xdr:col>
      <xdr:colOff>210362</xdr:colOff>
      <xdr:row>5</xdr:row>
      <xdr:rowOff>293077</xdr:rowOff>
    </xdr:to>
    <xdr:pic>
      <xdr:nvPicPr>
        <xdr:cNvPr id="6" name="Image 5">
          <a:extLst>
            <a:ext uri="{FF2B5EF4-FFF2-40B4-BE49-F238E27FC236}">
              <a16:creationId xmlns:a16="http://schemas.microsoft.com/office/drawing/2014/main" id="{5DBACB54-8B77-D066-9A2B-8E64C2AE387C}"/>
            </a:ext>
          </a:extLst>
        </xdr:cNvPr>
        <xdr:cNvPicPr>
          <a:picLocks noChangeAspect="1"/>
        </xdr:cNvPicPr>
      </xdr:nvPicPr>
      <xdr:blipFill>
        <a:blip xmlns:r="http://schemas.openxmlformats.org/officeDocument/2006/relationships" r:embed="rId2"/>
        <a:stretch>
          <a:fillRect/>
        </a:stretch>
      </xdr:blipFill>
      <xdr:spPr>
        <a:xfrm>
          <a:off x="5077557" y="1421423"/>
          <a:ext cx="1705055" cy="417635"/>
        </a:xfrm>
        <a:prstGeom prst="rect">
          <a:avLst/>
        </a:prstGeom>
      </xdr:spPr>
    </xdr:pic>
    <xdr:clientData/>
  </xdr:twoCellAnchor>
  <xdr:twoCellAnchor editAs="oneCell">
    <xdr:from>
      <xdr:col>1</xdr:col>
      <xdr:colOff>92928</xdr:colOff>
      <xdr:row>37</xdr:row>
      <xdr:rowOff>5578</xdr:rowOff>
    </xdr:from>
    <xdr:to>
      <xdr:col>4</xdr:col>
      <xdr:colOff>1157748</xdr:colOff>
      <xdr:row>41</xdr:row>
      <xdr:rowOff>10018</xdr:rowOff>
    </xdr:to>
    <xdr:pic>
      <xdr:nvPicPr>
        <xdr:cNvPr id="7" name="Image 6">
          <a:extLst>
            <a:ext uri="{FF2B5EF4-FFF2-40B4-BE49-F238E27FC236}">
              <a16:creationId xmlns:a16="http://schemas.microsoft.com/office/drawing/2014/main" id="{04D2EFC7-D0BE-D1DC-6543-D10029C8A743}"/>
            </a:ext>
          </a:extLst>
        </xdr:cNvPr>
        <xdr:cNvPicPr>
          <a:picLocks noChangeAspect="1"/>
        </xdr:cNvPicPr>
      </xdr:nvPicPr>
      <xdr:blipFill>
        <a:blip xmlns:r="http://schemas.openxmlformats.org/officeDocument/2006/relationships" r:embed="rId3"/>
        <a:stretch>
          <a:fillRect/>
        </a:stretch>
      </xdr:blipFill>
      <xdr:spPr>
        <a:xfrm>
          <a:off x="444620" y="9794347"/>
          <a:ext cx="5944551" cy="6785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216219</xdr:colOff>
      <xdr:row>1</xdr:row>
      <xdr:rowOff>460375</xdr:rowOff>
    </xdr:from>
    <xdr:to>
      <xdr:col>14</xdr:col>
      <xdr:colOff>15240</xdr:colOff>
      <xdr:row>10</xdr:row>
      <xdr:rowOff>94861</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3630594" y="936625"/>
          <a:ext cx="4993956" cy="3916926"/>
        </a:xfrm>
        <a:prstGeom prst="rect">
          <a:avLst/>
        </a:prstGeom>
      </xdr:spPr>
    </xdr:pic>
    <xdr:clientData/>
  </xdr:twoCellAnchor>
  <xdr:twoCellAnchor>
    <xdr:from>
      <xdr:col>14</xdr:col>
      <xdr:colOff>19050</xdr:colOff>
      <xdr:row>1</xdr:row>
      <xdr:rowOff>438150</xdr:rowOff>
    </xdr:from>
    <xdr:to>
      <xdr:col>24</xdr:col>
      <xdr:colOff>241200</xdr:colOff>
      <xdr:row>8</xdr:row>
      <xdr:rowOff>133350</xdr:rowOff>
    </xdr:to>
    <xdr:sp macro="" textlink="">
      <xdr:nvSpPr>
        <xdr:cNvPr id="8" name="Rectangle à coins arrondis 7">
          <a:extLst>
            <a:ext uri="{FF2B5EF4-FFF2-40B4-BE49-F238E27FC236}">
              <a16:creationId xmlns:a16="http://schemas.microsoft.com/office/drawing/2014/main" id="{00000000-0008-0000-0100-000008000000}"/>
            </a:ext>
          </a:extLst>
        </xdr:cNvPr>
        <xdr:cNvSpPr/>
      </xdr:nvSpPr>
      <xdr:spPr>
        <a:xfrm>
          <a:off x="18097500" y="914400"/>
          <a:ext cx="13500000" cy="3028950"/>
        </a:xfrm>
        <a:prstGeom prst="wedgeRoundRectCallout">
          <a:avLst>
            <a:gd name="adj1" fmla="val -69770"/>
            <a:gd name="adj2" fmla="val 27800"/>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a:solidFill>
                <a:srgbClr val="C00000"/>
              </a:solidFill>
              <a:latin typeface="Century Gothic" panose="020B0502020202020204" pitchFamily="34" charset="0"/>
            </a:rPr>
            <a:t>Pour</a:t>
          </a:r>
          <a:r>
            <a:rPr lang="fr-FR" sz="1800" b="1" baseline="0">
              <a:solidFill>
                <a:srgbClr val="C00000"/>
              </a:solidFill>
              <a:latin typeface="Century Gothic" panose="020B0502020202020204" pitchFamily="34" charset="0"/>
            </a:rPr>
            <a:t> modifier le menu déroulant de la calculette vendeur, </a:t>
          </a:r>
        </a:p>
        <a:p>
          <a:pPr algn="l"/>
          <a:r>
            <a:rPr lang="fr-FR" sz="1800" b="1" baseline="0">
              <a:solidFill>
                <a:srgbClr val="C00000"/>
              </a:solidFill>
              <a:latin typeface="Century Gothic" panose="020B0502020202020204" pitchFamily="34" charset="0"/>
            </a:rPr>
            <a:t>1 - cliquer sur la case "C7"</a:t>
          </a:r>
        </a:p>
        <a:p>
          <a:pPr algn="l"/>
          <a:r>
            <a:rPr lang="fr-FR" sz="1800" b="1" baseline="0">
              <a:solidFill>
                <a:srgbClr val="C00000"/>
              </a:solidFill>
              <a:latin typeface="Century Gothic" panose="020B0502020202020204" pitchFamily="34" charset="0"/>
            </a:rPr>
            <a:t>2 - aller dans l'onglet "Données" de la feuille</a:t>
          </a:r>
        </a:p>
        <a:p>
          <a:pPr algn="l"/>
          <a:r>
            <a:rPr lang="fr-FR" sz="1800" b="1" baseline="0">
              <a:solidFill>
                <a:srgbClr val="C00000"/>
              </a:solidFill>
              <a:latin typeface="Century Gothic" panose="020B0502020202020204" pitchFamily="34" charset="0"/>
            </a:rPr>
            <a:t>3 - cliquer sur le bouton </a:t>
          </a:r>
          <a:r>
            <a:rPr lang="fr-FR" sz="2000" b="1" baseline="0">
              <a:solidFill>
                <a:srgbClr val="C00000"/>
              </a:solidFill>
              <a:latin typeface="Century Gothic" panose="020B0502020202020204" pitchFamily="34" charset="0"/>
            </a:rPr>
            <a:t>"Validation des données"</a:t>
          </a:r>
        </a:p>
        <a:p>
          <a:pPr algn="l"/>
          <a:r>
            <a:rPr lang="fr-FR" sz="1800" b="1" baseline="0">
              <a:solidFill>
                <a:srgbClr val="C00000"/>
              </a:solidFill>
              <a:latin typeface="Century Gothic" panose="020B0502020202020204" pitchFamily="34" charset="0"/>
            </a:rPr>
            <a:t>4 - ajouter, supprimer le(s) type(s) de report(s) souhaité(s) en veillant à mettre un</a:t>
          </a:r>
          <a:r>
            <a:rPr lang="fr-FR" sz="2800" b="1" baseline="0">
              <a:solidFill>
                <a:srgbClr val="C00000"/>
              </a:solidFill>
              <a:latin typeface="Century Gothic" panose="020B0502020202020204" pitchFamily="34" charset="0"/>
            </a:rPr>
            <a:t> </a:t>
          </a:r>
          <a:r>
            <a:rPr lang="fr-FR" sz="1800" b="1" baseline="0">
              <a:solidFill>
                <a:srgbClr val="C00000"/>
              </a:solidFill>
              <a:latin typeface="Century Gothic" panose="020B0502020202020204" pitchFamily="34" charset="0"/>
            </a:rPr>
            <a:t>;</a:t>
          </a:r>
          <a:r>
            <a:rPr lang="fr-FR" sz="2800" b="1" baseline="0">
              <a:solidFill>
                <a:srgbClr val="C00000"/>
              </a:solidFill>
              <a:latin typeface="Century Gothic" panose="020B0502020202020204" pitchFamily="34" charset="0"/>
            </a:rPr>
            <a:t> </a:t>
          </a:r>
          <a:r>
            <a:rPr lang="fr-FR" sz="1800" b="1" baseline="0">
              <a:solidFill>
                <a:srgbClr val="C00000"/>
              </a:solidFill>
              <a:latin typeface="Century Gothic" panose="020B0502020202020204" pitchFamily="34" charset="0"/>
            </a:rPr>
            <a:t>(point virgule) entre chaque durée</a:t>
          </a:r>
        </a:p>
        <a:p>
          <a:pPr algn="l"/>
          <a:r>
            <a:rPr lang="fr-FR" sz="1800" b="1" baseline="0">
              <a:solidFill>
                <a:srgbClr val="C00000"/>
              </a:solidFill>
              <a:latin typeface="Century Gothic" panose="020B0502020202020204" pitchFamily="34" charset="0"/>
            </a:rPr>
            <a:t>5 - cliquez sur OK</a:t>
          </a:r>
        </a:p>
        <a:p>
          <a:pPr algn="l"/>
          <a:r>
            <a:rPr lang="fr-FR" sz="1800" b="1" baseline="0">
              <a:solidFill>
                <a:srgbClr val="C00000"/>
              </a:solidFill>
              <a:latin typeface="Century Gothic" panose="020B0502020202020204" pitchFamily="34" charset="0"/>
            </a:rPr>
            <a:t>6 - Modifiier l'intitulé des case "B7, B8, B9"</a:t>
          </a:r>
        </a:p>
        <a:p>
          <a:pPr algn="l"/>
          <a:r>
            <a:rPr lang="fr-FR" sz="1800" b="1" baseline="0">
              <a:solidFill>
                <a:srgbClr val="C00000"/>
              </a:solidFill>
              <a:latin typeface="Century Gothic" panose="020B0502020202020204" pitchFamily="34" charset="0"/>
            </a:rPr>
            <a:t>7 - vérifier que vos modifications ont été prises en compte en cliquant sur le menu déroulant de la case "C7"</a:t>
          </a:r>
          <a:endParaRPr lang="fr-FR" sz="1800" b="1">
            <a:solidFill>
              <a:srgbClr val="C00000"/>
            </a:solidFill>
            <a:latin typeface="Century Gothic" panose="020B0502020202020204" pitchFamily="34" charset="0"/>
          </a:endParaRPr>
        </a:p>
      </xdr:txBody>
    </xdr:sp>
    <xdr:clientData/>
  </xdr:twoCellAnchor>
  <xdr:twoCellAnchor>
    <xdr:from>
      <xdr:col>3</xdr:col>
      <xdr:colOff>762000</xdr:colOff>
      <xdr:row>13</xdr:row>
      <xdr:rowOff>19050</xdr:rowOff>
    </xdr:from>
    <xdr:to>
      <xdr:col>6</xdr:col>
      <xdr:colOff>228600</xdr:colOff>
      <xdr:row>15</xdr:row>
      <xdr:rowOff>218550</xdr:rowOff>
    </xdr:to>
    <xdr:sp macro="" textlink="">
      <xdr:nvSpPr>
        <xdr:cNvPr id="9" name="Rectangle à coins arrondis 8">
          <a:extLst>
            <a:ext uri="{FF2B5EF4-FFF2-40B4-BE49-F238E27FC236}">
              <a16:creationId xmlns:a16="http://schemas.microsoft.com/office/drawing/2014/main" id="{00000000-0008-0000-0100-000009000000}"/>
            </a:ext>
          </a:extLst>
        </xdr:cNvPr>
        <xdr:cNvSpPr/>
      </xdr:nvSpPr>
      <xdr:spPr>
        <a:xfrm>
          <a:off x="4991100" y="6210300"/>
          <a:ext cx="3295650" cy="1152000"/>
        </a:xfrm>
        <a:prstGeom prst="wedgeRoundRectCallout">
          <a:avLst>
            <a:gd name="adj1" fmla="val -73833"/>
            <a:gd name="adj2" fmla="val 52282"/>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a:solidFill>
                <a:srgbClr val="C00000"/>
              </a:solidFill>
              <a:latin typeface="Century Gothic" panose="020B0502020202020204" pitchFamily="34" charset="0"/>
            </a:rPr>
            <a:t>Si</a:t>
          </a:r>
          <a:r>
            <a:rPr lang="fr-FR" sz="1800" b="1" baseline="0">
              <a:solidFill>
                <a:srgbClr val="C00000"/>
              </a:solidFill>
              <a:latin typeface="Century Gothic" panose="020B0502020202020204" pitchFamily="34" charset="0"/>
            </a:rPr>
            <a:t> nécessaire, modifier les bornes de durées et/ou de montants du barème</a:t>
          </a:r>
          <a:endParaRPr lang="fr-FR" sz="1800" b="1">
            <a:solidFill>
              <a:srgbClr val="C00000"/>
            </a:solidFill>
            <a:latin typeface="Century Gothic" panose="020B0502020202020204" pitchFamily="34" charset="0"/>
          </a:endParaRPr>
        </a:p>
      </xdr:txBody>
    </xdr:sp>
    <xdr:clientData/>
  </xdr:twoCellAnchor>
  <xdr:twoCellAnchor>
    <xdr:from>
      <xdr:col>22</xdr:col>
      <xdr:colOff>1085850</xdr:colOff>
      <xdr:row>29</xdr:row>
      <xdr:rowOff>476250</xdr:rowOff>
    </xdr:from>
    <xdr:to>
      <xdr:col>25</xdr:col>
      <xdr:colOff>19050</xdr:colOff>
      <xdr:row>31</xdr:row>
      <xdr:rowOff>361950</xdr:rowOff>
    </xdr:to>
    <xdr:sp macro="" textlink="">
      <xdr:nvSpPr>
        <xdr:cNvPr id="11" name="Rectangle à coins arrondis 10">
          <a:extLst>
            <a:ext uri="{FF2B5EF4-FFF2-40B4-BE49-F238E27FC236}">
              <a16:creationId xmlns:a16="http://schemas.microsoft.com/office/drawing/2014/main" id="{00000000-0008-0000-0100-00000B000000}"/>
            </a:ext>
          </a:extLst>
        </xdr:cNvPr>
        <xdr:cNvSpPr/>
      </xdr:nvSpPr>
      <xdr:spPr>
        <a:xfrm>
          <a:off x="29851350" y="14039850"/>
          <a:ext cx="2781300" cy="1143000"/>
        </a:xfrm>
        <a:prstGeom prst="wedgeRoundRectCallout">
          <a:avLst>
            <a:gd name="adj1" fmla="val -81989"/>
            <a:gd name="adj2" fmla="val -55009"/>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a:solidFill>
                <a:srgbClr val="C00000"/>
              </a:solidFill>
              <a:latin typeface="Century Gothic" panose="020B0502020202020204" pitchFamily="34" charset="0"/>
            </a:rPr>
            <a:t>Si</a:t>
          </a:r>
          <a:r>
            <a:rPr lang="fr-FR" sz="1800" b="1" baseline="0">
              <a:solidFill>
                <a:srgbClr val="C00000"/>
              </a:solidFill>
              <a:latin typeface="Century Gothic" panose="020B0502020202020204" pitchFamily="34" charset="0"/>
            </a:rPr>
            <a:t> nécessaire, modifier les bornes de durées et/ou le montant</a:t>
          </a:r>
          <a:endParaRPr lang="fr-FR" sz="1800" b="1">
            <a:solidFill>
              <a:srgbClr val="C00000"/>
            </a:solidFill>
            <a:latin typeface="Century Gothic" panose="020B0502020202020204" pitchFamily="34" charset="0"/>
          </a:endParaRPr>
        </a:p>
      </xdr:txBody>
    </xdr:sp>
    <xdr:clientData/>
  </xdr:twoCellAnchor>
  <xdr:twoCellAnchor>
    <xdr:from>
      <xdr:col>3</xdr:col>
      <xdr:colOff>1028700</xdr:colOff>
      <xdr:row>31</xdr:row>
      <xdr:rowOff>381000</xdr:rowOff>
    </xdr:from>
    <xdr:to>
      <xdr:col>6</xdr:col>
      <xdr:colOff>495300</xdr:colOff>
      <xdr:row>34</xdr:row>
      <xdr:rowOff>104250</xdr:rowOff>
    </xdr:to>
    <xdr:sp macro="" textlink="">
      <xdr:nvSpPr>
        <xdr:cNvPr id="13" name="Rectangle à coins arrondis 12">
          <a:extLst>
            <a:ext uri="{FF2B5EF4-FFF2-40B4-BE49-F238E27FC236}">
              <a16:creationId xmlns:a16="http://schemas.microsoft.com/office/drawing/2014/main" id="{00000000-0008-0000-0100-00000D000000}"/>
            </a:ext>
          </a:extLst>
        </xdr:cNvPr>
        <xdr:cNvSpPr/>
      </xdr:nvSpPr>
      <xdr:spPr>
        <a:xfrm>
          <a:off x="5257800" y="16440150"/>
          <a:ext cx="3505200" cy="1152000"/>
        </a:xfrm>
        <a:prstGeom prst="wedgeRoundRectCallout">
          <a:avLst>
            <a:gd name="adj1" fmla="val -72039"/>
            <a:gd name="adj2" fmla="val -76703"/>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a:solidFill>
                <a:srgbClr val="C00000"/>
              </a:solidFill>
              <a:latin typeface="Century Gothic" panose="020B0502020202020204" pitchFamily="34" charset="0"/>
            </a:rPr>
            <a:t>Si</a:t>
          </a:r>
          <a:r>
            <a:rPr lang="fr-FR" sz="1800" b="1" baseline="0">
              <a:solidFill>
                <a:srgbClr val="C00000"/>
              </a:solidFill>
              <a:latin typeface="Century Gothic" panose="020B0502020202020204" pitchFamily="34" charset="0"/>
            </a:rPr>
            <a:t> nécessaire, modifier les bornes d'âge permettant de souscrire à l'ADE</a:t>
          </a:r>
          <a:endParaRPr lang="fr-FR" sz="1800" b="1">
            <a:solidFill>
              <a:srgbClr val="C00000"/>
            </a:solidFill>
            <a:latin typeface="Century Gothic" panose="020B0502020202020204" pitchFamily="34" charset="0"/>
          </a:endParaRPr>
        </a:p>
      </xdr:txBody>
    </xdr:sp>
    <xdr:clientData/>
  </xdr:twoCellAnchor>
  <xdr:twoCellAnchor>
    <xdr:from>
      <xdr:col>25</xdr:col>
      <xdr:colOff>381000</xdr:colOff>
      <xdr:row>12</xdr:row>
      <xdr:rowOff>266700</xdr:rowOff>
    </xdr:from>
    <xdr:to>
      <xdr:col>27</xdr:col>
      <xdr:colOff>419100</xdr:colOff>
      <xdr:row>15</xdr:row>
      <xdr:rowOff>209550</xdr:rowOff>
    </xdr:to>
    <xdr:sp macro="" textlink="">
      <xdr:nvSpPr>
        <xdr:cNvPr id="15" name="Rectangle à coins arrondis 14">
          <a:extLst>
            <a:ext uri="{FF2B5EF4-FFF2-40B4-BE49-F238E27FC236}">
              <a16:creationId xmlns:a16="http://schemas.microsoft.com/office/drawing/2014/main" id="{00000000-0008-0000-0100-00000F000000}"/>
            </a:ext>
          </a:extLst>
        </xdr:cNvPr>
        <xdr:cNvSpPr/>
      </xdr:nvSpPr>
      <xdr:spPr>
        <a:xfrm>
          <a:off x="33204150" y="5981700"/>
          <a:ext cx="2781300" cy="1371600"/>
        </a:xfrm>
        <a:prstGeom prst="wedgeRoundRectCallout">
          <a:avLst>
            <a:gd name="adj1" fmla="val -61441"/>
            <a:gd name="adj2" fmla="val 40825"/>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a:solidFill>
                <a:srgbClr val="C00000"/>
              </a:solidFill>
              <a:latin typeface="Century Gothic" panose="020B0502020202020204" pitchFamily="34" charset="0"/>
            </a:rPr>
            <a:t>Si</a:t>
          </a:r>
          <a:r>
            <a:rPr lang="fr-FR" sz="1800" b="1" baseline="0">
              <a:solidFill>
                <a:srgbClr val="C00000"/>
              </a:solidFill>
              <a:latin typeface="Century Gothic" panose="020B0502020202020204" pitchFamily="34" charset="0"/>
            </a:rPr>
            <a:t> nécessaire, modifier les % d'assurance et/ou les montants associés</a:t>
          </a:r>
          <a:endParaRPr lang="fr-FR" sz="1800" b="1">
            <a:solidFill>
              <a:srgbClr val="C00000"/>
            </a:solidFill>
            <a:latin typeface="Century Gothic" panose="020B0502020202020204" pitchFamily="34" charset="0"/>
          </a:endParaRPr>
        </a:p>
      </xdr:txBody>
    </xdr:sp>
    <xdr:clientData/>
  </xdr:twoCellAnchor>
  <xdr:twoCellAnchor>
    <xdr:from>
      <xdr:col>9</xdr:col>
      <xdr:colOff>44450</xdr:colOff>
      <xdr:row>12</xdr:row>
      <xdr:rowOff>304800</xdr:rowOff>
    </xdr:from>
    <xdr:to>
      <xdr:col>11</xdr:col>
      <xdr:colOff>1063625</xdr:colOff>
      <xdr:row>17</xdr:row>
      <xdr:rowOff>57150</xdr:rowOff>
    </xdr:to>
    <xdr:sp macro="" textlink="">
      <xdr:nvSpPr>
        <xdr:cNvPr id="17" name="Rectangle à coins arrondis 16">
          <a:extLst>
            <a:ext uri="{FF2B5EF4-FFF2-40B4-BE49-F238E27FC236}">
              <a16:creationId xmlns:a16="http://schemas.microsoft.com/office/drawing/2014/main" id="{00000000-0008-0000-0100-000011000000}"/>
            </a:ext>
          </a:extLst>
        </xdr:cNvPr>
        <xdr:cNvSpPr/>
      </xdr:nvSpPr>
      <xdr:spPr>
        <a:xfrm>
          <a:off x="12109450" y="6019800"/>
          <a:ext cx="3670300" cy="2133600"/>
        </a:xfrm>
        <a:prstGeom prst="wedgeRoundRectCallout">
          <a:avLst>
            <a:gd name="adj1" fmla="val 54491"/>
            <a:gd name="adj2" fmla="val 94595"/>
            <a:gd name="adj3" fmla="val 16667"/>
          </a:avLst>
        </a:prstGeom>
        <a:solidFill>
          <a:srgbClr val="9BBB59">
            <a:alpha val="40000"/>
          </a:srgbClr>
        </a:solidFill>
        <a:ln w="19050"/>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l"/>
          <a:r>
            <a:rPr lang="fr-FR" sz="1800" b="1" baseline="0">
              <a:solidFill>
                <a:srgbClr val="C00000"/>
              </a:solidFill>
              <a:latin typeface="Century Gothic" panose="020B0502020202020204" pitchFamily="34" charset="0"/>
            </a:rPr>
            <a:t>le tableau se remplit seul à partir des valeurs du tableau B3:E10</a:t>
          </a:r>
        </a:p>
        <a:p>
          <a:pPr algn="l"/>
          <a:endParaRPr lang="fr-FR" sz="1800" b="1" baseline="0">
            <a:solidFill>
              <a:srgbClr val="C00000"/>
            </a:solidFill>
            <a:latin typeface="Century Gothic" panose="020B0502020202020204" pitchFamily="34" charset="0"/>
          </a:endParaRPr>
        </a:p>
        <a:p>
          <a:pPr algn="ctr"/>
          <a:r>
            <a:rPr lang="fr-FR" sz="2400" b="1" u="sng" cap="small" baseline="0">
              <a:solidFill>
                <a:srgbClr val="C00000"/>
              </a:solidFill>
              <a:latin typeface="Century Gothic" panose="020B0502020202020204" pitchFamily="34" charset="0"/>
            </a:rPr>
            <a:t>remplir toutes les cases</a:t>
          </a:r>
        </a:p>
      </xdr:txBody>
    </xdr:sp>
    <xdr:clientData/>
  </xdr:twoCellAnchor>
  <xdr:twoCellAnchor editAs="oneCell">
    <xdr:from>
      <xdr:col>25</xdr:col>
      <xdr:colOff>1004455</xdr:colOff>
      <xdr:row>16</xdr:row>
      <xdr:rowOff>284883</xdr:rowOff>
    </xdr:from>
    <xdr:to>
      <xdr:col>34</xdr:col>
      <xdr:colOff>695667</xdr:colOff>
      <xdr:row>22</xdr:row>
      <xdr:rowOff>173180</xdr:rowOff>
    </xdr:to>
    <xdr:pic>
      <xdr:nvPicPr>
        <xdr:cNvPr id="2" name="Image 1">
          <a:extLst>
            <a:ext uri="{FF2B5EF4-FFF2-40B4-BE49-F238E27FC236}">
              <a16:creationId xmlns:a16="http://schemas.microsoft.com/office/drawing/2014/main" id="{5C401F92-0D95-3C37-8B70-980CC53CE7E8}"/>
            </a:ext>
          </a:extLst>
        </xdr:cNvPr>
        <xdr:cNvPicPr>
          <a:picLocks noChangeAspect="1"/>
        </xdr:cNvPicPr>
      </xdr:nvPicPr>
      <xdr:blipFill>
        <a:blip xmlns:r="http://schemas.openxmlformats.org/officeDocument/2006/relationships" r:embed="rId2"/>
        <a:stretch>
          <a:fillRect/>
        </a:stretch>
      </xdr:blipFill>
      <xdr:spPr>
        <a:xfrm>
          <a:off x="35692773" y="8043428"/>
          <a:ext cx="13822849" cy="279775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gdata04\drc-commun\Mes%20documents\Tarification\Bar&#232;mes%20An%202000\5%2010%2020%20mois%204.78%2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 MS SS ASM"/>
      <sheetName val="5 MS ASM  "/>
      <sheetName val="10 MS SS ASM "/>
      <sheetName val="10 MS ASM "/>
      <sheetName val="20 MS SS ASM  "/>
      <sheetName val="20 MS ASM "/>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sheetPr>
  <dimension ref="A1:WVR57"/>
  <sheetViews>
    <sheetView showGridLines="0" zoomScale="130" zoomScaleNormal="130" zoomScaleSheetLayoutView="100" workbookViewId="0">
      <selection activeCell="D12" sqref="D12"/>
      <extLst>
        <ext xmlns:xlsdti="http://schemas.microsoft.com/office/spreadsheetml/2023/showDataTypeIcons" uri="{77bfe23e-c014-4d31-8a63-9c772dbf06b6}">
          <xlsdti:showDataTypeIcons visible="0"/>
        </ext>
      </extLst>
    </sheetView>
  </sheetViews>
  <sheetFormatPr baseColWidth="10" defaultColWidth="0" defaultRowHeight="27.5" zeroHeight="1" outlineLevelRow="1"/>
  <cols>
    <col min="1" max="1" width="4.54296875" style="198" customWidth="1"/>
    <col min="2" max="2" width="2.453125" style="198" customWidth="1"/>
    <col min="3" max="3" width="59.26953125" style="198" bestFit="1" customWidth="1"/>
    <col min="4" max="4" width="55.453125" style="198" customWidth="1"/>
    <col min="5" max="5" width="2.7265625" style="199" customWidth="1"/>
    <col min="6" max="6" width="3.7265625" style="208" customWidth="1"/>
    <col min="7" max="28" width="11.453125" style="33" hidden="1"/>
    <col min="29" max="255" width="11.453125" style="198" hidden="1"/>
    <col min="256" max="256" width="4.7265625" style="198" hidden="1"/>
    <col min="257" max="257" width="35.54296875" style="198" hidden="1"/>
    <col min="258" max="259" width="11.453125" style="198" hidden="1"/>
    <col min="260" max="260" width="4.7265625" style="198" hidden="1"/>
    <col min="261" max="261" width="45.453125" style="198" hidden="1"/>
    <col min="262" max="511" width="11.453125" style="198" hidden="1"/>
    <col min="512" max="512" width="4.7265625" style="198" hidden="1"/>
    <col min="513" max="513" width="35.54296875" style="198" hidden="1"/>
    <col min="514" max="515" width="11.453125" style="198" hidden="1"/>
    <col min="516" max="516" width="4.7265625" style="198" hidden="1"/>
    <col min="517" max="517" width="45.453125" style="198" hidden="1"/>
    <col min="518" max="767" width="11.453125" style="198" hidden="1"/>
    <col min="768" max="768" width="4.7265625" style="198" hidden="1"/>
    <col min="769" max="769" width="35.54296875" style="198" hidden="1"/>
    <col min="770" max="771" width="11.453125" style="198" hidden="1"/>
    <col min="772" max="772" width="4.7265625" style="198" hidden="1"/>
    <col min="773" max="773" width="45.453125" style="198" hidden="1"/>
    <col min="774" max="1023" width="11.453125" style="198" hidden="1"/>
    <col min="1024" max="1024" width="4.7265625" style="198" hidden="1"/>
    <col min="1025" max="1025" width="35.54296875" style="198" hidden="1"/>
    <col min="1026" max="1027" width="11.453125" style="198" hidden="1"/>
    <col min="1028" max="1028" width="4.7265625" style="198" hidden="1"/>
    <col min="1029" max="1029" width="45.453125" style="198" hidden="1"/>
    <col min="1030" max="1279" width="11.453125" style="198" hidden="1"/>
    <col min="1280" max="1280" width="4.7265625" style="198" hidden="1"/>
    <col min="1281" max="1281" width="35.54296875" style="198" hidden="1"/>
    <col min="1282" max="1283" width="11.453125" style="198" hidden="1"/>
    <col min="1284" max="1284" width="4.7265625" style="198" hidden="1"/>
    <col min="1285" max="1285" width="45.453125" style="198" hidden="1"/>
    <col min="1286" max="1535" width="11.453125" style="198" hidden="1"/>
    <col min="1536" max="1536" width="4.7265625" style="198" hidden="1"/>
    <col min="1537" max="1537" width="35.54296875" style="198" hidden="1"/>
    <col min="1538" max="1539" width="11.453125" style="198" hidden="1"/>
    <col min="1540" max="1540" width="4.7265625" style="198" hidden="1"/>
    <col min="1541" max="1541" width="45.453125" style="198" hidden="1"/>
    <col min="1542" max="1791" width="11.453125" style="198" hidden="1"/>
    <col min="1792" max="1792" width="4.7265625" style="198" hidden="1"/>
    <col min="1793" max="1793" width="35.54296875" style="198" hidden="1"/>
    <col min="1794" max="1795" width="11.453125" style="198" hidden="1"/>
    <col min="1796" max="1796" width="4.7265625" style="198" hidden="1"/>
    <col min="1797" max="1797" width="45.453125" style="198" hidden="1"/>
    <col min="1798" max="2047" width="11.453125" style="198" hidden="1"/>
    <col min="2048" max="2048" width="4.7265625" style="198" hidden="1"/>
    <col min="2049" max="2049" width="35.54296875" style="198" hidden="1"/>
    <col min="2050" max="2051" width="11.453125" style="198" hidden="1"/>
    <col min="2052" max="2052" width="4.7265625" style="198" hidden="1"/>
    <col min="2053" max="2053" width="45.453125" style="198" hidden="1"/>
    <col min="2054" max="2303" width="11.453125" style="198" hidden="1"/>
    <col min="2304" max="2304" width="4.7265625" style="198" hidden="1"/>
    <col min="2305" max="2305" width="35.54296875" style="198" hidden="1"/>
    <col min="2306" max="2307" width="11.453125" style="198" hidden="1"/>
    <col min="2308" max="2308" width="4.7265625" style="198" hidden="1"/>
    <col min="2309" max="2309" width="45.453125" style="198" hidden="1"/>
    <col min="2310" max="2559" width="11.453125" style="198" hidden="1"/>
    <col min="2560" max="2560" width="4.7265625" style="198" hidden="1"/>
    <col min="2561" max="2561" width="35.54296875" style="198" hidden="1"/>
    <col min="2562" max="2563" width="11.453125" style="198" hidden="1"/>
    <col min="2564" max="2564" width="4.7265625" style="198" hidden="1"/>
    <col min="2565" max="2565" width="45.453125" style="198" hidden="1"/>
    <col min="2566" max="2815" width="11.453125" style="198" hidden="1"/>
    <col min="2816" max="2816" width="4.7265625" style="198" hidden="1"/>
    <col min="2817" max="2817" width="35.54296875" style="198" hidden="1"/>
    <col min="2818" max="2819" width="11.453125" style="198" hidden="1"/>
    <col min="2820" max="2820" width="4.7265625" style="198" hidden="1"/>
    <col min="2821" max="2821" width="45.453125" style="198" hidden="1"/>
    <col min="2822" max="3071" width="11.453125" style="198" hidden="1"/>
    <col min="3072" max="3072" width="4.7265625" style="198" hidden="1"/>
    <col min="3073" max="3073" width="35.54296875" style="198" hidden="1"/>
    <col min="3074" max="3075" width="11.453125" style="198" hidden="1"/>
    <col min="3076" max="3076" width="4.7265625" style="198" hidden="1"/>
    <col min="3077" max="3077" width="45.453125" style="198" hidden="1"/>
    <col min="3078" max="3327" width="11.453125" style="198" hidden="1"/>
    <col min="3328" max="3328" width="4.7265625" style="198" hidden="1"/>
    <col min="3329" max="3329" width="35.54296875" style="198" hidden="1"/>
    <col min="3330" max="3331" width="11.453125" style="198" hidden="1"/>
    <col min="3332" max="3332" width="4.7265625" style="198" hidden="1"/>
    <col min="3333" max="3333" width="45.453125" style="198" hidden="1"/>
    <col min="3334" max="3583" width="11.453125" style="198" hidden="1"/>
    <col min="3584" max="3584" width="4.7265625" style="198" hidden="1"/>
    <col min="3585" max="3585" width="35.54296875" style="198" hidden="1"/>
    <col min="3586" max="3587" width="11.453125" style="198" hidden="1"/>
    <col min="3588" max="3588" width="4.7265625" style="198" hidden="1"/>
    <col min="3589" max="3589" width="45.453125" style="198" hidden="1"/>
    <col min="3590" max="3839" width="11.453125" style="198" hidden="1"/>
    <col min="3840" max="3840" width="4.7265625" style="198" hidden="1"/>
    <col min="3841" max="3841" width="35.54296875" style="198" hidden="1"/>
    <col min="3842" max="3843" width="11.453125" style="198" hidden="1"/>
    <col min="3844" max="3844" width="4.7265625" style="198" hidden="1"/>
    <col min="3845" max="3845" width="45.453125" style="198" hidden="1"/>
    <col min="3846" max="4095" width="11.453125" style="198" hidden="1"/>
    <col min="4096" max="4096" width="4.7265625" style="198" hidden="1"/>
    <col min="4097" max="4097" width="35.54296875" style="198" hidden="1"/>
    <col min="4098" max="4099" width="11.453125" style="198" hidden="1"/>
    <col min="4100" max="4100" width="4.7265625" style="198" hidden="1"/>
    <col min="4101" max="4101" width="45.453125" style="198" hidden="1"/>
    <col min="4102" max="4351" width="11.453125" style="198" hidden="1"/>
    <col min="4352" max="4352" width="4.7265625" style="198" hidden="1"/>
    <col min="4353" max="4353" width="35.54296875" style="198" hidden="1"/>
    <col min="4354" max="4355" width="11.453125" style="198" hidden="1"/>
    <col min="4356" max="4356" width="4.7265625" style="198" hidden="1"/>
    <col min="4357" max="4357" width="45.453125" style="198" hidden="1"/>
    <col min="4358" max="4607" width="11.453125" style="198" hidden="1"/>
    <col min="4608" max="4608" width="4.7265625" style="198" hidden="1"/>
    <col min="4609" max="4609" width="35.54296875" style="198" hidden="1"/>
    <col min="4610" max="4611" width="11.453125" style="198" hidden="1"/>
    <col min="4612" max="4612" width="4.7265625" style="198" hidden="1"/>
    <col min="4613" max="4613" width="45.453125" style="198" hidden="1"/>
    <col min="4614" max="4863" width="11.453125" style="198" hidden="1"/>
    <col min="4864" max="4864" width="4.7265625" style="198" hidden="1"/>
    <col min="4865" max="4865" width="35.54296875" style="198" hidden="1"/>
    <col min="4866" max="4867" width="11.453125" style="198" hidden="1"/>
    <col min="4868" max="4868" width="4.7265625" style="198" hidden="1"/>
    <col min="4869" max="4869" width="45.453125" style="198" hidden="1"/>
    <col min="4870" max="5119" width="11.453125" style="198" hidden="1"/>
    <col min="5120" max="5120" width="4.7265625" style="198" hidden="1"/>
    <col min="5121" max="5121" width="35.54296875" style="198" hidden="1"/>
    <col min="5122" max="5123" width="11.453125" style="198" hidden="1"/>
    <col min="5124" max="5124" width="4.7265625" style="198" hidden="1"/>
    <col min="5125" max="5125" width="45.453125" style="198" hidden="1"/>
    <col min="5126" max="5375" width="11.453125" style="198" hidden="1"/>
    <col min="5376" max="5376" width="4.7265625" style="198" hidden="1"/>
    <col min="5377" max="5377" width="35.54296875" style="198" hidden="1"/>
    <col min="5378" max="5379" width="11.453125" style="198" hidden="1"/>
    <col min="5380" max="5380" width="4.7265625" style="198" hidden="1"/>
    <col min="5381" max="5381" width="45.453125" style="198" hidden="1"/>
    <col min="5382" max="5631" width="11.453125" style="198" hidden="1"/>
    <col min="5632" max="5632" width="4.7265625" style="198" hidden="1"/>
    <col min="5633" max="5633" width="35.54296875" style="198" hidden="1"/>
    <col min="5634" max="5635" width="11.453125" style="198" hidden="1"/>
    <col min="5636" max="5636" width="4.7265625" style="198" hidden="1"/>
    <col min="5637" max="5637" width="45.453125" style="198" hidden="1"/>
    <col min="5638" max="5887" width="11.453125" style="198" hidden="1"/>
    <col min="5888" max="5888" width="4.7265625" style="198" hidden="1"/>
    <col min="5889" max="5889" width="35.54296875" style="198" hidden="1"/>
    <col min="5890" max="5891" width="11.453125" style="198" hidden="1"/>
    <col min="5892" max="5892" width="4.7265625" style="198" hidden="1"/>
    <col min="5893" max="5893" width="45.453125" style="198" hidden="1"/>
    <col min="5894" max="6143" width="11.453125" style="198" hidden="1"/>
    <col min="6144" max="6144" width="4.7265625" style="198" hidden="1"/>
    <col min="6145" max="6145" width="35.54296875" style="198" hidden="1"/>
    <col min="6146" max="6147" width="11.453125" style="198" hidden="1"/>
    <col min="6148" max="6148" width="4.7265625" style="198" hidden="1"/>
    <col min="6149" max="6149" width="45.453125" style="198" hidden="1"/>
    <col min="6150" max="6399" width="11.453125" style="198" hidden="1"/>
    <col min="6400" max="6400" width="4.7265625" style="198" hidden="1"/>
    <col min="6401" max="6401" width="35.54296875" style="198" hidden="1"/>
    <col min="6402" max="6403" width="11.453125" style="198" hidden="1"/>
    <col min="6404" max="6404" width="4.7265625" style="198" hidden="1"/>
    <col min="6405" max="6405" width="45.453125" style="198" hidden="1"/>
    <col min="6406" max="6655" width="11.453125" style="198" hidden="1"/>
    <col min="6656" max="6656" width="4.7265625" style="198" hidden="1"/>
    <col min="6657" max="6657" width="35.54296875" style="198" hidden="1"/>
    <col min="6658" max="6659" width="11.453125" style="198" hidden="1"/>
    <col min="6660" max="6660" width="4.7265625" style="198" hidden="1"/>
    <col min="6661" max="6661" width="45.453125" style="198" hidden="1"/>
    <col min="6662" max="6911" width="11.453125" style="198" hidden="1"/>
    <col min="6912" max="6912" width="4.7265625" style="198" hidden="1"/>
    <col min="6913" max="6913" width="35.54296875" style="198" hidden="1"/>
    <col min="6914" max="6915" width="11.453125" style="198" hidden="1"/>
    <col min="6916" max="6916" width="4.7265625" style="198" hidden="1"/>
    <col min="6917" max="6917" width="45.453125" style="198" hidden="1"/>
    <col min="6918" max="7167" width="11.453125" style="198" hidden="1"/>
    <col min="7168" max="7168" width="4.7265625" style="198" hidden="1"/>
    <col min="7169" max="7169" width="35.54296875" style="198" hidden="1"/>
    <col min="7170" max="7171" width="11.453125" style="198" hidden="1"/>
    <col min="7172" max="7172" width="4.7265625" style="198" hidden="1"/>
    <col min="7173" max="7173" width="45.453125" style="198" hidden="1"/>
    <col min="7174" max="7423" width="11.453125" style="198" hidden="1"/>
    <col min="7424" max="7424" width="4.7265625" style="198" hidden="1"/>
    <col min="7425" max="7425" width="35.54296875" style="198" hidden="1"/>
    <col min="7426" max="7427" width="11.453125" style="198" hidden="1"/>
    <col min="7428" max="7428" width="4.7265625" style="198" hidden="1"/>
    <col min="7429" max="7429" width="45.453125" style="198" hidden="1"/>
    <col min="7430" max="7679" width="11.453125" style="198" hidden="1"/>
    <col min="7680" max="7680" width="4.7265625" style="198" hidden="1"/>
    <col min="7681" max="7681" width="35.54296875" style="198" hidden="1"/>
    <col min="7682" max="7683" width="11.453125" style="198" hidden="1"/>
    <col min="7684" max="7684" width="4.7265625" style="198" hidden="1"/>
    <col min="7685" max="7685" width="45.453125" style="198" hidden="1"/>
    <col min="7686" max="7935" width="11.453125" style="198" hidden="1"/>
    <col min="7936" max="7936" width="4.7265625" style="198" hidden="1"/>
    <col min="7937" max="7937" width="35.54296875" style="198" hidden="1"/>
    <col min="7938" max="7939" width="11.453125" style="198" hidden="1"/>
    <col min="7940" max="7940" width="4.7265625" style="198" hidden="1"/>
    <col min="7941" max="7941" width="45.453125" style="198" hidden="1"/>
    <col min="7942" max="8191" width="11.453125" style="198" hidden="1"/>
    <col min="8192" max="8192" width="4.7265625" style="198" hidden="1"/>
    <col min="8193" max="8193" width="35.54296875" style="198" hidden="1"/>
    <col min="8194" max="8195" width="11.453125" style="198" hidden="1"/>
    <col min="8196" max="8196" width="4.7265625" style="198" hidden="1"/>
    <col min="8197" max="8197" width="45.453125" style="198" hidden="1"/>
    <col min="8198" max="8447" width="11.453125" style="198" hidden="1"/>
    <col min="8448" max="8448" width="4.7265625" style="198" hidden="1"/>
    <col min="8449" max="8449" width="35.54296875" style="198" hidden="1"/>
    <col min="8450" max="8451" width="11.453125" style="198" hidden="1"/>
    <col min="8452" max="8452" width="4.7265625" style="198" hidden="1"/>
    <col min="8453" max="8453" width="45.453125" style="198" hidden="1"/>
    <col min="8454" max="8703" width="11.453125" style="198" hidden="1"/>
    <col min="8704" max="8704" width="4.7265625" style="198" hidden="1"/>
    <col min="8705" max="8705" width="35.54296875" style="198" hidden="1"/>
    <col min="8706" max="8707" width="11.453125" style="198" hidden="1"/>
    <col min="8708" max="8708" width="4.7265625" style="198" hidden="1"/>
    <col min="8709" max="8709" width="45.453125" style="198" hidden="1"/>
    <col min="8710" max="8959" width="11.453125" style="198" hidden="1"/>
    <col min="8960" max="8960" width="4.7265625" style="198" hidden="1"/>
    <col min="8961" max="8961" width="35.54296875" style="198" hidden="1"/>
    <col min="8962" max="8963" width="11.453125" style="198" hidden="1"/>
    <col min="8964" max="8964" width="4.7265625" style="198" hidden="1"/>
    <col min="8965" max="8965" width="45.453125" style="198" hidden="1"/>
    <col min="8966" max="9215" width="11.453125" style="198" hidden="1"/>
    <col min="9216" max="9216" width="4.7265625" style="198" hidden="1"/>
    <col min="9217" max="9217" width="35.54296875" style="198" hidden="1"/>
    <col min="9218" max="9219" width="11.453125" style="198" hidden="1"/>
    <col min="9220" max="9220" width="4.7265625" style="198" hidden="1"/>
    <col min="9221" max="9221" width="45.453125" style="198" hidden="1"/>
    <col min="9222" max="9471" width="11.453125" style="198" hidden="1"/>
    <col min="9472" max="9472" width="4.7265625" style="198" hidden="1"/>
    <col min="9473" max="9473" width="35.54296875" style="198" hidden="1"/>
    <col min="9474" max="9475" width="11.453125" style="198" hidden="1"/>
    <col min="9476" max="9476" width="4.7265625" style="198" hidden="1"/>
    <col min="9477" max="9477" width="45.453125" style="198" hidden="1"/>
    <col min="9478" max="9727" width="11.453125" style="198" hidden="1"/>
    <col min="9728" max="9728" width="4.7265625" style="198" hidden="1"/>
    <col min="9729" max="9729" width="35.54296875" style="198" hidden="1"/>
    <col min="9730" max="9731" width="11.453125" style="198" hidden="1"/>
    <col min="9732" max="9732" width="4.7265625" style="198" hidden="1"/>
    <col min="9733" max="9733" width="45.453125" style="198" hidden="1"/>
    <col min="9734" max="9983" width="11.453125" style="198" hidden="1"/>
    <col min="9984" max="9984" width="4.7265625" style="198" hidden="1"/>
    <col min="9985" max="9985" width="35.54296875" style="198" hidden="1"/>
    <col min="9986" max="9987" width="11.453125" style="198" hidden="1"/>
    <col min="9988" max="9988" width="4.7265625" style="198" hidden="1"/>
    <col min="9989" max="9989" width="45.453125" style="198" hidden="1"/>
    <col min="9990" max="10239" width="11.453125" style="198" hidden="1"/>
    <col min="10240" max="10240" width="4.7265625" style="198" hidden="1"/>
    <col min="10241" max="10241" width="35.54296875" style="198" hidden="1"/>
    <col min="10242" max="10243" width="11.453125" style="198" hidden="1"/>
    <col min="10244" max="10244" width="4.7265625" style="198" hidden="1"/>
    <col min="10245" max="10245" width="45.453125" style="198" hidden="1"/>
    <col min="10246" max="10495" width="11.453125" style="198" hidden="1"/>
    <col min="10496" max="10496" width="4.7265625" style="198" hidden="1"/>
    <col min="10497" max="10497" width="35.54296875" style="198" hidden="1"/>
    <col min="10498" max="10499" width="11.453125" style="198" hidden="1"/>
    <col min="10500" max="10500" width="4.7265625" style="198" hidden="1"/>
    <col min="10501" max="10501" width="45.453125" style="198" hidden="1"/>
    <col min="10502" max="10751" width="11.453125" style="198" hidden="1"/>
    <col min="10752" max="10752" width="4.7265625" style="198" hidden="1"/>
    <col min="10753" max="10753" width="35.54296875" style="198" hidden="1"/>
    <col min="10754" max="10755" width="11.453125" style="198" hidden="1"/>
    <col min="10756" max="10756" width="4.7265625" style="198" hidden="1"/>
    <col min="10757" max="10757" width="45.453125" style="198" hidden="1"/>
    <col min="10758" max="11007" width="11.453125" style="198" hidden="1"/>
    <col min="11008" max="11008" width="4.7265625" style="198" hidden="1"/>
    <col min="11009" max="11009" width="35.54296875" style="198" hidden="1"/>
    <col min="11010" max="11011" width="11.453125" style="198" hidden="1"/>
    <col min="11012" max="11012" width="4.7265625" style="198" hidden="1"/>
    <col min="11013" max="11013" width="45.453125" style="198" hidden="1"/>
    <col min="11014" max="11263" width="11.453125" style="198" hidden="1"/>
    <col min="11264" max="11264" width="4.7265625" style="198" hidden="1"/>
    <col min="11265" max="11265" width="35.54296875" style="198" hidden="1"/>
    <col min="11266" max="11267" width="11.453125" style="198" hidden="1"/>
    <col min="11268" max="11268" width="4.7265625" style="198" hidden="1"/>
    <col min="11269" max="11269" width="45.453125" style="198" hidden="1"/>
    <col min="11270" max="11519" width="11.453125" style="198" hidden="1"/>
    <col min="11520" max="11520" width="4.7265625" style="198" hidden="1"/>
    <col min="11521" max="11521" width="35.54296875" style="198" hidden="1"/>
    <col min="11522" max="11523" width="11.453125" style="198" hidden="1"/>
    <col min="11524" max="11524" width="4.7265625" style="198" hidden="1"/>
    <col min="11525" max="11525" width="45.453125" style="198" hidden="1"/>
    <col min="11526" max="11775" width="11.453125" style="198" hidden="1"/>
    <col min="11776" max="11776" width="4.7265625" style="198" hidden="1"/>
    <col min="11777" max="11777" width="35.54296875" style="198" hidden="1"/>
    <col min="11778" max="11779" width="11.453125" style="198" hidden="1"/>
    <col min="11780" max="11780" width="4.7265625" style="198" hidden="1"/>
    <col min="11781" max="11781" width="45.453125" style="198" hidden="1"/>
    <col min="11782" max="12031" width="11.453125" style="198" hidden="1"/>
    <col min="12032" max="12032" width="4.7265625" style="198" hidden="1"/>
    <col min="12033" max="12033" width="35.54296875" style="198" hidden="1"/>
    <col min="12034" max="12035" width="11.453125" style="198" hidden="1"/>
    <col min="12036" max="12036" width="4.7265625" style="198" hidden="1"/>
    <col min="12037" max="12037" width="45.453125" style="198" hidden="1"/>
    <col min="12038" max="12287" width="11.453125" style="198" hidden="1"/>
    <col min="12288" max="12288" width="4.7265625" style="198" hidden="1"/>
    <col min="12289" max="12289" width="35.54296875" style="198" hidden="1"/>
    <col min="12290" max="12291" width="11.453125" style="198" hidden="1"/>
    <col min="12292" max="12292" width="4.7265625" style="198" hidden="1"/>
    <col min="12293" max="12293" width="45.453125" style="198" hidden="1"/>
    <col min="12294" max="12543" width="11.453125" style="198" hidden="1"/>
    <col min="12544" max="12544" width="4.7265625" style="198" hidden="1"/>
    <col min="12545" max="12545" width="35.54296875" style="198" hidden="1"/>
    <col min="12546" max="12547" width="11.453125" style="198" hidden="1"/>
    <col min="12548" max="12548" width="4.7265625" style="198" hidden="1"/>
    <col min="12549" max="12549" width="45.453125" style="198" hidden="1"/>
    <col min="12550" max="12799" width="11.453125" style="198" hidden="1"/>
    <col min="12800" max="12800" width="4.7265625" style="198" hidden="1"/>
    <col min="12801" max="12801" width="35.54296875" style="198" hidden="1"/>
    <col min="12802" max="12803" width="11.453125" style="198" hidden="1"/>
    <col min="12804" max="12804" width="4.7265625" style="198" hidden="1"/>
    <col min="12805" max="12805" width="45.453125" style="198" hidden="1"/>
    <col min="12806" max="13055" width="11.453125" style="198" hidden="1"/>
    <col min="13056" max="13056" width="4.7265625" style="198" hidden="1"/>
    <col min="13057" max="13057" width="35.54296875" style="198" hidden="1"/>
    <col min="13058" max="13059" width="11.453125" style="198" hidden="1"/>
    <col min="13060" max="13060" width="4.7265625" style="198" hidden="1"/>
    <col min="13061" max="13061" width="45.453125" style="198" hidden="1"/>
    <col min="13062" max="13311" width="11.453125" style="198" hidden="1"/>
    <col min="13312" max="13312" width="4.7265625" style="198" hidden="1"/>
    <col min="13313" max="13313" width="35.54296875" style="198" hidden="1"/>
    <col min="13314" max="13315" width="11.453125" style="198" hidden="1"/>
    <col min="13316" max="13316" width="4.7265625" style="198" hidden="1"/>
    <col min="13317" max="13317" width="45.453125" style="198" hidden="1"/>
    <col min="13318" max="13567" width="11.453125" style="198" hidden="1"/>
    <col min="13568" max="13568" width="4.7265625" style="198" hidden="1"/>
    <col min="13569" max="13569" width="35.54296875" style="198" hidden="1"/>
    <col min="13570" max="13571" width="11.453125" style="198" hidden="1"/>
    <col min="13572" max="13572" width="4.7265625" style="198" hidden="1"/>
    <col min="13573" max="13573" width="45.453125" style="198" hidden="1"/>
    <col min="13574" max="13823" width="11.453125" style="198" hidden="1"/>
    <col min="13824" max="13824" width="4.7265625" style="198" hidden="1"/>
    <col min="13825" max="13825" width="35.54296875" style="198" hidden="1"/>
    <col min="13826" max="13827" width="11.453125" style="198" hidden="1"/>
    <col min="13828" max="13828" width="4.7265625" style="198" hidden="1"/>
    <col min="13829" max="13829" width="45.453125" style="198" hidden="1"/>
    <col min="13830" max="14079" width="11.453125" style="198" hidden="1"/>
    <col min="14080" max="14080" width="4.7265625" style="198" hidden="1"/>
    <col min="14081" max="14081" width="35.54296875" style="198" hidden="1"/>
    <col min="14082" max="14083" width="11.453125" style="198" hidden="1"/>
    <col min="14084" max="14084" width="4.7265625" style="198" hidden="1"/>
    <col min="14085" max="14085" width="45.453125" style="198" hidden="1"/>
    <col min="14086" max="14335" width="11.453125" style="198" hidden="1"/>
    <col min="14336" max="14336" width="4.7265625" style="198" hidden="1"/>
    <col min="14337" max="14337" width="35.54296875" style="198" hidden="1"/>
    <col min="14338" max="14339" width="11.453125" style="198" hidden="1"/>
    <col min="14340" max="14340" width="4.7265625" style="198" hidden="1"/>
    <col min="14341" max="14341" width="45.453125" style="198" hidden="1"/>
    <col min="14342" max="14591" width="11.453125" style="198" hidden="1"/>
    <col min="14592" max="14592" width="4.7265625" style="198" hidden="1"/>
    <col min="14593" max="14593" width="35.54296875" style="198" hidden="1"/>
    <col min="14594" max="14595" width="11.453125" style="198" hidden="1"/>
    <col min="14596" max="14596" width="4.7265625" style="198" hidden="1"/>
    <col min="14597" max="14597" width="45.453125" style="198" hidden="1"/>
    <col min="14598" max="14847" width="11.453125" style="198" hidden="1"/>
    <col min="14848" max="14848" width="4.7265625" style="198" hidden="1"/>
    <col min="14849" max="14849" width="35.54296875" style="198" hidden="1"/>
    <col min="14850" max="14851" width="11.453125" style="198" hidden="1"/>
    <col min="14852" max="14852" width="4.7265625" style="198" hidden="1"/>
    <col min="14853" max="14853" width="45.453125" style="198" hidden="1"/>
    <col min="14854" max="15103" width="11.453125" style="198" hidden="1"/>
    <col min="15104" max="15104" width="4.7265625" style="198" hidden="1"/>
    <col min="15105" max="15105" width="35.54296875" style="198" hidden="1"/>
    <col min="15106" max="15107" width="11.453125" style="198" hidden="1"/>
    <col min="15108" max="15108" width="4.7265625" style="198" hidden="1"/>
    <col min="15109" max="15109" width="45.453125" style="198" hidden="1"/>
    <col min="15110" max="15359" width="11.453125" style="198" hidden="1"/>
    <col min="15360" max="15360" width="4.7265625" style="198" hidden="1"/>
    <col min="15361" max="15361" width="35.54296875" style="198" hidden="1"/>
    <col min="15362" max="15363" width="11.453125" style="198" hidden="1"/>
    <col min="15364" max="15364" width="4.7265625" style="198" hidden="1"/>
    <col min="15365" max="15365" width="45.453125" style="198" hidden="1"/>
    <col min="15366" max="15615" width="11.453125" style="198" hidden="1"/>
    <col min="15616" max="15616" width="4.7265625" style="198" hidden="1"/>
    <col min="15617" max="15617" width="35.54296875" style="198" hidden="1"/>
    <col min="15618" max="15619" width="11.453125" style="198" hidden="1"/>
    <col min="15620" max="15620" width="4.7265625" style="198" hidden="1"/>
    <col min="15621" max="15621" width="45.453125" style="198" hidden="1"/>
    <col min="15622" max="15871" width="11.453125" style="198" hidden="1"/>
    <col min="15872" max="15872" width="4.7265625" style="198" hidden="1"/>
    <col min="15873" max="15873" width="35.54296875" style="198" hidden="1"/>
    <col min="15874" max="15875" width="11.453125" style="198" hidden="1"/>
    <col min="15876" max="15876" width="4.7265625" style="198" hidden="1"/>
    <col min="15877" max="15877" width="45.453125" style="198" hidden="1"/>
    <col min="15878" max="16127" width="11.453125" style="198" hidden="1"/>
    <col min="16128" max="16128" width="4.7265625" style="198" hidden="1"/>
    <col min="16129" max="16129" width="35.54296875" style="198" hidden="1"/>
    <col min="16130" max="16131" width="11.453125" style="198" hidden="1"/>
    <col min="16132" max="16132" width="4.7265625" style="198" hidden="1"/>
    <col min="16133" max="16138" width="45.453125" style="198" hidden="1"/>
    <col min="16139" max="16384" width="11.453125" style="198" hidden="1"/>
  </cols>
  <sheetData>
    <row r="1" spans="1:28" s="199" customFormat="1" ht="13.5" customHeight="1">
      <c r="A1" s="198"/>
      <c r="B1" s="198"/>
      <c r="D1" s="234" t="s">
        <v>0</v>
      </c>
    </row>
    <row r="2" spans="1:28" ht="62.25" customHeight="1">
      <c r="A2" s="249" t="s">
        <v>1</v>
      </c>
      <c r="B2" s="249"/>
      <c r="C2" s="249"/>
      <c r="D2" s="249"/>
      <c r="E2" s="249"/>
      <c r="F2" s="249"/>
    </row>
    <row r="3" spans="1:28" ht="12.75" customHeight="1">
      <c r="A3" s="235"/>
      <c r="D3" s="199"/>
      <c r="F3" s="235"/>
    </row>
    <row r="4" spans="1:28" ht="19.5" customHeight="1" thickBot="1">
      <c r="A4" s="235"/>
      <c r="C4" s="236" t="s">
        <v>2</v>
      </c>
      <c r="D4" s="170" t="s">
        <v>3</v>
      </c>
      <c r="F4" s="235"/>
    </row>
    <row r="5" spans="1:28" ht="12.75" customHeight="1" thickBot="1">
      <c r="A5" s="235"/>
      <c r="C5" s="237" t="s">
        <v>4</v>
      </c>
      <c r="D5" s="199"/>
      <c r="F5" s="235"/>
    </row>
    <row r="6" spans="1:28" s="200" customFormat="1" ht="19.5" customHeight="1" thickBot="1">
      <c r="A6" s="235"/>
      <c r="B6" s="198"/>
      <c r="C6" s="199" t="s">
        <v>5</v>
      </c>
      <c r="D6" s="170" t="s">
        <v>6</v>
      </c>
      <c r="E6" s="199"/>
      <c r="F6" s="235"/>
      <c r="G6" s="71"/>
      <c r="H6" s="71"/>
      <c r="I6" s="71" t="s">
        <v>7</v>
      </c>
      <c r="J6" s="71"/>
      <c r="K6" s="71"/>
      <c r="L6" s="71"/>
      <c r="M6" s="71"/>
      <c r="N6" s="71"/>
      <c r="O6" s="71"/>
      <c r="P6" s="71"/>
      <c r="Q6" s="71"/>
      <c r="R6" s="71"/>
      <c r="S6" s="71"/>
      <c r="T6" s="71"/>
      <c r="U6" s="71"/>
      <c r="V6" s="71"/>
      <c r="W6" s="71"/>
      <c r="X6" s="71"/>
      <c r="Y6" s="71"/>
      <c r="Z6" s="71"/>
      <c r="AA6" s="71"/>
      <c r="AB6" s="71"/>
    </row>
    <row r="7" spans="1:28" s="200" customFormat="1" ht="12.75" customHeight="1">
      <c r="A7" s="235"/>
      <c r="B7" s="198"/>
      <c r="C7" s="199"/>
      <c r="D7" s="199"/>
      <c r="E7" s="199"/>
      <c r="F7" s="235"/>
      <c r="G7" s="71"/>
      <c r="H7" s="71"/>
      <c r="I7" s="71"/>
      <c r="J7" s="71"/>
      <c r="K7" s="71"/>
      <c r="L7" s="71"/>
      <c r="M7" s="71"/>
      <c r="N7" s="71"/>
      <c r="O7" s="71"/>
      <c r="P7" s="71"/>
      <c r="Q7" s="71"/>
      <c r="R7" s="71"/>
      <c r="S7" s="71"/>
      <c r="T7" s="71"/>
      <c r="U7" s="71"/>
      <c r="V7" s="71"/>
      <c r="W7" s="71"/>
      <c r="X7" s="71"/>
      <c r="Y7" s="71"/>
      <c r="Z7" s="71"/>
      <c r="AA7" s="71"/>
      <c r="AB7" s="71"/>
    </row>
    <row r="8" spans="1:28" s="200" customFormat="1" ht="19.5" customHeight="1">
      <c r="A8" s="235"/>
      <c r="B8" s="198"/>
      <c r="C8" s="199" t="s">
        <v>8</v>
      </c>
      <c r="D8" s="204">
        <v>2890</v>
      </c>
      <c r="E8" s="199"/>
      <c r="F8" s="235"/>
      <c r="G8" s="71"/>
      <c r="H8" s="71"/>
      <c r="I8" s="71"/>
      <c r="J8" s="71"/>
      <c r="K8" s="71"/>
      <c r="L8" s="71"/>
      <c r="M8" s="71"/>
      <c r="N8" s="71"/>
      <c r="O8" s="71"/>
      <c r="P8" s="71"/>
      <c r="Q8" s="71"/>
      <c r="R8" s="71"/>
      <c r="S8" s="71"/>
      <c r="T8" s="71"/>
      <c r="U8" s="71"/>
      <c r="V8" s="71"/>
      <c r="W8" s="71"/>
      <c r="X8" s="71"/>
      <c r="Y8" s="71"/>
      <c r="Z8" s="71"/>
      <c r="AA8" s="71"/>
      <c r="AB8" s="71"/>
    </row>
    <row r="9" spans="1:28" s="200" customFormat="1" ht="12.75" customHeight="1">
      <c r="A9" s="235"/>
      <c r="B9" s="198"/>
      <c r="C9" s="199"/>
      <c r="D9" s="199"/>
      <c r="E9" s="199"/>
      <c r="F9" s="235"/>
      <c r="G9" s="71"/>
      <c r="H9" s="71"/>
      <c r="I9" s="71"/>
      <c r="J9" s="71"/>
      <c r="K9" s="71"/>
      <c r="L9" s="71"/>
      <c r="M9" s="71"/>
      <c r="N9" s="71"/>
      <c r="O9" s="71"/>
      <c r="P9" s="71"/>
      <c r="Q9" s="71"/>
      <c r="R9" s="71"/>
      <c r="S9" s="71"/>
      <c r="T9" s="71"/>
      <c r="U9" s="71"/>
      <c r="V9" s="71"/>
      <c r="W9" s="71"/>
      <c r="X9" s="71"/>
      <c r="Y9" s="71"/>
      <c r="Z9" s="71"/>
      <c r="AA9" s="71"/>
      <c r="AB9" s="71"/>
    </row>
    <row r="10" spans="1:28" ht="19.5" customHeight="1">
      <c r="A10" s="235"/>
      <c r="C10" s="199" t="s">
        <v>9</v>
      </c>
      <c r="D10" s="204">
        <v>100</v>
      </c>
      <c r="F10" s="235"/>
      <c r="I10" s="201"/>
    </row>
    <row r="11" spans="1:28" ht="12.75" customHeight="1" thickBot="1">
      <c r="A11" s="235"/>
      <c r="C11" s="199"/>
      <c r="F11" s="235"/>
    </row>
    <row r="12" spans="1:28" ht="19.5" customHeight="1" thickBot="1">
      <c r="A12" s="235"/>
      <c r="C12" s="199" t="s">
        <v>10</v>
      </c>
      <c r="D12" s="205" t="s">
        <v>163</v>
      </c>
      <c r="F12" s="235"/>
    </row>
    <row r="13" spans="1:28" ht="9.75" customHeight="1">
      <c r="A13" s="235"/>
      <c r="C13" s="199"/>
      <c r="D13" s="238" t="str">
        <f>_xlfn.LET(_xlpm.off,D12,_xlpm.minAmt,_xlfn.MINIFS(gamme!C:C,gamme!B:B,_xlpm.off),_xlpm.maxAmt,_xlfn.MAXIFS(gamme!D:D,gamme!B:B,_xlpm.off),IF(OR(_xlpm.minAmt=0,_xlpm.maxAmt=0),"barème non trouvé","barème utilisable de "&amp;TEXT(_xlpm.minAmt,"# ##0,00")&amp;"€ à "&amp;TEXT(_xlpm.maxAmt,"# ##0,00")&amp;"€"))</f>
        <v>barème utilisable de 960,00€ à 25 000,00€</v>
      </c>
      <c r="F13" s="235"/>
    </row>
    <row r="14" spans="1:28" ht="12.75" customHeight="1" thickBot="1">
      <c r="A14" s="235"/>
      <c r="C14" s="199"/>
      <c r="F14" s="235"/>
    </row>
    <row r="15" spans="1:28" ht="19.5" customHeight="1" thickBot="1">
      <c r="A15" s="235"/>
      <c r="C15" s="199" t="s">
        <v>12</v>
      </c>
      <c r="D15" s="239">
        <f>'Calcul '!B15</f>
        <v>60</v>
      </c>
      <c r="F15" s="235"/>
    </row>
    <row r="16" spans="1:28" ht="12.75" customHeight="1" thickBot="1">
      <c r="A16" s="235"/>
      <c r="F16" s="235"/>
    </row>
    <row r="17" spans="1:9" ht="19.5" customHeight="1" thickBot="1">
      <c r="A17" s="235"/>
      <c r="C17" s="199" t="s">
        <v>13</v>
      </c>
      <c r="D17" s="230">
        <f>IFERROR('Calcul '!E6,"Pas de proposition")</f>
        <v>0.15047863172352183</v>
      </c>
      <c r="F17" s="235"/>
    </row>
    <row r="18" spans="1:9" ht="12.75" customHeight="1">
      <c r="A18" s="235"/>
      <c r="C18" s="199"/>
      <c r="D18" s="199"/>
      <c r="F18" s="235"/>
    </row>
    <row r="19" spans="1:9">
      <c r="A19" s="235"/>
      <c r="B19" s="235"/>
      <c r="C19" s="240"/>
      <c r="D19" s="235"/>
      <c r="E19" s="235"/>
      <c r="F19" s="235"/>
    </row>
    <row r="20" spans="1:9" ht="12.75" hidden="1" customHeight="1" outlineLevel="1">
      <c r="A20" s="241"/>
      <c r="B20" s="241"/>
      <c r="C20" s="241"/>
      <c r="D20" s="241"/>
      <c r="E20" s="242"/>
      <c r="F20" s="242"/>
    </row>
    <row r="21" spans="1:9" ht="12.75" hidden="1" customHeight="1" outlineLevel="1" thickBot="1">
      <c r="A21" s="241"/>
      <c r="F21" s="241"/>
    </row>
    <row r="22" spans="1:9" ht="20" hidden="1" outlineLevel="1" thickBot="1">
      <c r="A22" s="241"/>
      <c r="C22" s="236" t="s">
        <v>14</v>
      </c>
      <c r="D22" s="170" t="s">
        <v>15</v>
      </c>
      <c r="F22" s="241"/>
    </row>
    <row r="23" spans="1:9" ht="12.75" hidden="1" customHeight="1" outlineLevel="1" thickBot="1">
      <c r="A23" s="241"/>
      <c r="C23" s="199"/>
      <c r="D23" s="243"/>
      <c r="F23" s="241"/>
    </row>
    <row r="24" spans="1:9" ht="20" hidden="1" outlineLevel="1" thickBot="1">
      <c r="A24" s="241"/>
      <c r="C24" s="199" t="s">
        <v>16</v>
      </c>
      <c r="D24" s="170">
        <v>722041860</v>
      </c>
      <c r="F24" s="241"/>
    </row>
    <row r="25" spans="1:9" ht="12.75" hidden="1" customHeight="1" outlineLevel="1" thickBot="1">
      <c r="A25" s="241"/>
      <c r="C25" s="199"/>
      <c r="D25" s="243"/>
      <c r="F25" s="241"/>
    </row>
    <row r="26" spans="1:9" ht="20" hidden="1" outlineLevel="1" thickBot="1">
      <c r="A26" s="241"/>
      <c r="C26" s="199" t="s">
        <v>17</v>
      </c>
      <c r="D26" s="170" t="s">
        <v>18</v>
      </c>
      <c r="F26" s="241"/>
    </row>
    <row r="27" spans="1:9" ht="12.75" hidden="1" customHeight="1" outlineLevel="1" thickBot="1">
      <c r="A27" s="241"/>
      <c r="C27" s="199"/>
      <c r="F27" s="241"/>
    </row>
    <row r="28" spans="1:9" ht="20" hidden="1" outlineLevel="1" thickBot="1">
      <c r="A28" s="241"/>
      <c r="C28" s="199" t="s">
        <v>19</v>
      </c>
      <c r="D28" s="170" t="s">
        <v>20</v>
      </c>
      <c r="F28" s="241"/>
    </row>
    <row r="29" spans="1:9" ht="12.75" hidden="1" customHeight="1" outlineLevel="1" thickBot="1">
      <c r="A29" s="241"/>
      <c r="C29" s="199"/>
      <c r="D29" s="243"/>
      <c r="F29" s="241"/>
      <c r="I29" s="202"/>
    </row>
    <row r="30" spans="1:9" ht="20" hidden="1" outlineLevel="1" thickBot="1">
      <c r="A30" s="241"/>
      <c r="C30" s="199" t="s">
        <v>21</v>
      </c>
      <c r="D30" s="170">
        <v>10055338</v>
      </c>
      <c r="F30" s="241"/>
    </row>
    <row r="31" spans="1:9" ht="12.75" hidden="1" customHeight="1" outlineLevel="1" thickBot="1">
      <c r="A31" s="241"/>
      <c r="C31" s="199"/>
      <c r="D31" s="33"/>
      <c r="F31" s="241"/>
    </row>
    <row r="32" spans="1:9" ht="20" hidden="1" outlineLevel="1" thickBot="1">
      <c r="A32" s="241"/>
      <c r="C32" s="199" t="s">
        <v>22</v>
      </c>
      <c r="D32" s="170" t="s">
        <v>23</v>
      </c>
      <c r="F32" s="241"/>
      <c r="G32" s="33" t="s">
        <v>23</v>
      </c>
    </row>
    <row r="33" spans="1:28" ht="12.75" hidden="1" customHeight="1" outlineLevel="1">
      <c r="A33" s="241"/>
      <c r="C33" s="199"/>
      <c r="D33" s="33"/>
      <c r="F33" s="241"/>
      <c r="G33" s="33" t="s">
        <v>24</v>
      </c>
    </row>
    <row r="34" spans="1:28" ht="12.75" hidden="1" customHeight="1" outlineLevel="1">
      <c r="A34" s="241"/>
      <c r="B34" s="241"/>
      <c r="C34" s="241"/>
      <c r="D34" s="241"/>
      <c r="E34" s="241"/>
      <c r="F34" s="241"/>
      <c r="G34" s="198"/>
      <c r="H34" s="198"/>
      <c r="I34" s="198"/>
      <c r="J34" s="198"/>
      <c r="K34" s="198"/>
      <c r="L34" s="198"/>
      <c r="M34" s="198"/>
      <c r="N34" s="198"/>
      <c r="O34" s="198"/>
      <c r="P34" s="198"/>
      <c r="Q34" s="198"/>
      <c r="R34" s="198"/>
      <c r="S34" s="198"/>
      <c r="T34" s="198"/>
      <c r="U34" s="198"/>
      <c r="V34" s="198"/>
      <c r="W34" s="198"/>
      <c r="X34" s="198"/>
      <c r="Y34" s="198"/>
      <c r="Z34" s="198"/>
      <c r="AA34" s="198"/>
      <c r="AB34" s="198"/>
    </row>
    <row r="35" spans="1:28" s="199" customFormat="1" ht="13.5" customHeight="1" collapsed="1">
      <c r="A35" s="244" t="s">
        <v>25</v>
      </c>
      <c r="B35" s="198"/>
      <c r="D35" s="33"/>
    </row>
    <row r="36" spans="1:28" hidden="1">
      <c r="D36" s="243"/>
    </row>
    <row r="37" spans="1:28" hidden="1">
      <c r="D37" s="243"/>
    </row>
    <row r="38" spans="1:28" hidden="1">
      <c r="D38" s="243"/>
    </row>
    <row r="39" spans="1:28" hidden="1">
      <c r="D39" s="243"/>
    </row>
    <row r="40" spans="1:28" hidden="1">
      <c r="D40" s="33"/>
    </row>
    <row r="41" spans="1:28" hidden="1">
      <c r="D41" s="243"/>
    </row>
    <row r="42" spans="1:28" hidden="1">
      <c r="D42" s="33"/>
    </row>
    <row r="44" spans="1:28" hidden="1">
      <c r="D44" s="33"/>
      <c r="J44" s="198"/>
      <c r="K44" s="198"/>
    </row>
    <row r="45" spans="1:28" hidden="1">
      <c r="J45" s="198"/>
      <c r="K45" s="198"/>
    </row>
    <row r="46" spans="1:28" hidden="1">
      <c r="J46" s="198"/>
      <c r="K46" s="198"/>
    </row>
    <row r="48" spans="1:28" hidden="1">
      <c r="D48" s="245"/>
    </row>
    <row r="49" spans="4:9"/>
    <row r="50" spans="4:9"/>
    <row r="51" spans="4:9"/>
    <row r="54" spans="4:9" hidden="1">
      <c r="D54" s="246"/>
    </row>
    <row r="56" spans="4:9" hidden="1">
      <c r="H56" s="198"/>
      <c r="I56" s="198"/>
    </row>
    <row r="57" spans="4:9"/>
  </sheetData>
  <sheetProtection algorithmName="SHA-512" hashValue="K38/DiL48XoRmzfGPcswPpH6LscSFOPn0r+nOVfjtZdC2vWnZx/730JHureJX12mJoezqAcAVhKKW/3odqm9mQ==" saltValue="7KdqqKS31fBjAisgRtXB6w==" spinCount="100000" sheet="1" formatRows="0" selectLockedCells="1"/>
  <mergeCells count="1">
    <mergeCell ref="A2:F2"/>
  </mergeCells>
  <dataValidations count="3">
    <dataValidation type="list" allowBlank="1" showInputMessage="1" showErrorMessage="1" sqref="WVJ983069 WLN983069 WBR983069 VRV983069 VHZ983069 UYD983069 UOH983069 UEL983069 TUP983069 TKT983069 TAX983069 SRB983069 SHF983069 RXJ983069 RNN983069 RDR983069 QTV983069 QJZ983069 QAD983069 PQH983069 PGL983069 OWP983069 OMT983069 OCX983069 NTB983069 NJF983069 MZJ983069 MPN983069 MFR983069 LVV983069 LLZ983069 LCD983069 KSH983069 KIL983069 JYP983069 JOT983069 JEX983069 IVB983069 ILF983069 IBJ983069 HRN983069 HHR983069 GXV983069 GNZ983069 GED983069 FUH983069 FKL983069 FAP983069 EQT983069 EGX983069 DXB983069 DNF983069 DDJ983069 CTN983069 CJR983069 BZV983069 BPZ983069 BGD983069 AWH983069 AML983069 ACP983069 ST983069 IX983069 WVJ917533 WLN917533 WBR917533 VRV917533 VHZ917533 UYD917533 UOH917533 UEL917533 TUP917533 TKT917533 TAX917533 SRB917533 SHF917533 RXJ917533 RNN917533 RDR917533 QTV917533 QJZ917533 QAD917533 PQH917533 PGL917533 OWP917533 OMT917533 OCX917533 NTB917533 NJF917533 MZJ917533 MPN917533 MFR917533 LVV917533 LLZ917533 LCD917533 KSH917533 KIL917533 JYP917533 JOT917533 JEX917533 IVB917533 ILF917533 IBJ917533 HRN917533 HHR917533 GXV917533 GNZ917533 GED917533 FUH917533 FKL917533 FAP917533 EQT917533 EGX917533 DXB917533 DNF917533 DDJ917533 CTN917533 CJR917533 BZV917533 BPZ917533 BGD917533 AWH917533 AML917533 ACP917533 ST917533 IX917533 WVJ851997 WLN851997 WBR851997 VRV851997 VHZ851997 UYD851997 UOH851997 UEL851997 TUP851997 TKT851997 TAX851997 SRB851997 SHF851997 RXJ851997 RNN851997 RDR851997 QTV851997 QJZ851997 QAD851997 PQH851997 PGL851997 OWP851997 OMT851997 OCX851997 NTB851997 NJF851997 MZJ851997 MPN851997 MFR851997 LVV851997 LLZ851997 LCD851997 KSH851997 KIL851997 JYP851997 JOT851997 JEX851997 IVB851997 ILF851997 IBJ851997 HRN851997 HHR851997 GXV851997 GNZ851997 GED851997 FUH851997 FKL851997 FAP851997 EQT851997 EGX851997 DXB851997 DNF851997 DDJ851997 CTN851997 CJR851997 BZV851997 BPZ851997 BGD851997 AWH851997 AML851997 ACP851997 ST851997 IX851997 WVJ786461 WLN786461 WBR786461 VRV786461 VHZ786461 UYD786461 UOH786461 UEL786461 TUP786461 TKT786461 TAX786461 SRB786461 SHF786461 RXJ786461 RNN786461 RDR786461 QTV786461 QJZ786461 QAD786461 PQH786461 PGL786461 OWP786461 OMT786461 OCX786461 NTB786461 NJF786461 MZJ786461 MPN786461 MFR786461 LVV786461 LLZ786461 LCD786461 KSH786461 KIL786461 JYP786461 JOT786461 JEX786461 IVB786461 ILF786461 IBJ786461 HRN786461 HHR786461 GXV786461 GNZ786461 GED786461 FUH786461 FKL786461 FAP786461 EQT786461 EGX786461 DXB786461 DNF786461 DDJ786461 CTN786461 CJR786461 BZV786461 BPZ786461 BGD786461 AWH786461 AML786461 ACP786461 ST786461 IX786461 WVJ720925 WLN720925 WBR720925 VRV720925 VHZ720925 UYD720925 UOH720925 UEL720925 TUP720925 TKT720925 TAX720925 SRB720925 SHF720925 RXJ720925 RNN720925 RDR720925 QTV720925 QJZ720925 QAD720925 PQH720925 PGL720925 OWP720925 OMT720925 OCX720925 NTB720925 NJF720925 MZJ720925 MPN720925 MFR720925 LVV720925 LLZ720925 LCD720925 KSH720925 KIL720925 JYP720925 JOT720925 JEX720925 IVB720925 ILF720925 IBJ720925 HRN720925 HHR720925 GXV720925 GNZ720925 GED720925 FUH720925 FKL720925 FAP720925 EQT720925 EGX720925 DXB720925 DNF720925 DDJ720925 CTN720925 CJR720925 BZV720925 BPZ720925 BGD720925 AWH720925 AML720925 ACP720925 ST720925 IX720925 WVJ655389 WLN655389 WBR655389 VRV655389 VHZ655389 UYD655389 UOH655389 UEL655389 TUP655389 TKT655389 TAX655389 SRB655389 SHF655389 RXJ655389 RNN655389 RDR655389 QTV655389 QJZ655389 QAD655389 PQH655389 PGL655389 OWP655389 OMT655389 OCX655389 NTB655389 NJF655389 MZJ655389 MPN655389 MFR655389 LVV655389 LLZ655389 LCD655389 KSH655389 KIL655389 JYP655389 JOT655389 JEX655389 IVB655389 ILF655389 IBJ655389 HRN655389 HHR655389 GXV655389 GNZ655389 GED655389 FUH655389 FKL655389 FAP655389 EQT655389 EGX655389 DXB655389 DNF655389 DDJ655389 CTN655389 CJR655389 BZV655389 BPZ655389 BGD655389 AWH655389 AML655389 ACP655389 ST655389 IX655389 WVJ589853 WLN589853 WBR589853 VRV589853 VHZ589853 UYD589853 UOH589853 UEL589853 TUP589853 TKT589853 TAX589853 SRB589853 SHF589853 RXJ589853 RNN589853 RDR589853 QTV589853 QJZ589853 QAD589853 PQH589853 PGL589853 OWP589853 OMT589853 OCX589853 NTB589853 NJF589853 MZJ589853 MPN589853 MFR589853 LVV589853 LLZ589853 LCD589853 KSH589853 KIL589853 JYP589853 JOT589853 JEX589853 IVB589853 ILF589853 IBJ589853 HRN589853 HHR589853 GXV589853 GNZ589853 GED589853 FUH589853 FKL589853 FAP589853 EQT589853 EGX589853 DXB589853 DNF589853 DDJ589853 CTN589853 CJR589853 BZV589853 BPZ589853 BGD589853 AWH589853 AML589853 ACP589853 ST589853 IX589853 WVJ524317 WLN524317 WBR524317 VRV524317 VHZ524317 UYD524317 UOH524317 UEL524317 TUP524317 TKT524317 TAX524317 SRB524317 SHF524317 RXJ524317 RNN524317 RDR524317 QTV524317 QJZ524317 QAD524317 PQH524317 PGL524317 OWP524317 OMT524317 OCX524317 NTB524317 NJF524317 MZJ524317 MPN524317 MFR524317 LVV524317 LLZ524317 LCD524317 KSH524317 KIL524317 JYP524317 JOT524317 JEX524317 IVB524317 ILF524317 IBJ524317 HRN524317 HHR524317 GXV524317 GNZ524317 GED524317 FUH524317 FKL524317 FAP524317 EQT524317 EGX524317 DXB524317 DNF524317 DDJ524317 CTN524317 CJR524317 BZV524317 BPZ524317 BGD524317 AWH524317 AML524317 ACP524317 ST524317 IX524317 WVJ458781 WLN458781 WBR458781 VRV458781 VHZ458781 UYD458781 UOH458781 UEL458781 TUP458781 TKT458781 TAX458781 SRB458781 SHF458781 RXJ458781 RNN458781 RDR458781 QTV458781 QJZ458781 QAD458781 PQH458781 PGL458781 OWP458781 OMT458781 OCX458781 NTB458781 NJF458781 MZJ458781 MPN458781 MFR458781 LVV458781 LLZ458781 LCD458781 KSH458781 KIL458781 JYP458781 JOT458781 JEX458781 IVB458781 ILF458781 IBJ458781 HRN458781 HHR458781 GXV458781 GNZ458781 GED458781 FUH458781 FKL458781 FAP458781 EQT458781 EGX458781 DXB458781 DNF458781 DDJ458781 CTN458781 CJR458781 BZV458781 BPZ458781 BGD458781 AWH458781 AML458781 ACP458781 ST458781 IX458781 WVJ393245 WLN393245 WBR393245 VRV393245 VHZ393245 UYD393245 UOH393245 UEL393245 TUP393245 TKT393245 TAX393245 SRB393245 SHF393245 RXJ393245 RNN393245 RDR393245 QTV393245 QJZ393245 QAD393245 PQH393245 PGL393245 OWP393245 OMT393245 OCX393245 NTB393245 NJF393245 MZJ393245 MPN393245 MFR393245 LVV393245 LLZ393245 LCD393245 KSH393245 KIL393245 JYP393245 JOT393245 JEX393245 IVB393245 ILF393245 IBJ393245 HRN393245 HHR393245 GXV393245 GNZ393245 GED393245 FUH393245 FKL393245 FAP393245 EQT393245 EGX393245 DXB393245 DNF393245 DDJ393245 CTN393245 CJR393245 BZV393245 BPZ393245 BGD393245 AWH393245 AML393245 ACP393245 ST393245 IX393245 WVJ327709 WLN327709 WBR327709 VRV327709 VHZ327709 UYD327709 UOH327709 UEL327709 TUP327709 TKT327709 TAX327709 SRB327709 SHF327709 RXJ327709 RNN327709 RDR327709 QTV327709 QJZ327709 QAD327709 PQH327709 PGL327709 OWP327709 OMT327709 OCX327709 NTB327709 NJF327709 MZJ327709 MPN327709 MFR327709 LVV327709 LLZ327709 LCD327709 KSH327709 KIL327709 JYP327709 JOT327709 JEX327709 IVB327709 ILF327709 IBJ327709 HRN327709 HHR327709 GXV327709 GNZ327709 GED327709 FUH327709 FKL327709 FAP327709 EQT327709 EGX327709 DXB327709 DNF327709 DDJ327709 CTN327709 CJR327709 BZV327709 BPZ327709 BGD327709 AWH327709 AML327709 ACP327709 ST327709 IX327709 WVJ262173 WLN262173 WBR262173 VRV262173 VHZ262173 UYD262173 UOH262173 UEL262173 TUP262173 TKT262173 TAX262173 SRB262173 SHF262173 RXJ262173 RNN262173 RDR262173 QTV262173 QJZ262173 QAD262173 PQH262173 PGL262173 OWP262173 OMT262173 OCX262173 NTB262173 NJF262173 MZJ262173 MPN262173 MFR262173 LVV262173 LLZ262173 LCD262173 KSH262173 KIL262173 JYP262173 JOT262173 JEX262173 IVB262173 ILF262173 IBJ262173 HRN262173 HHR262173 GXV262173 GNZ262173 GED262173 FUH262173 FKL262173 FAP262173 EQT262173 EGX262173 DXB262173 DNF262173 DDJ262173 CTN262173 CJR262173 BZV262173 BPZ262173 BGD262173 AWH262173 AML262173 ACP262173 ST262173 IX262173 WVJ196637 WLN196637 WBR196637 VRV196637 VHZ196637 UYD196637 UOH196637 UEL196637 TUP196637 TKT196637 TAX196637 SRB196637 SHF196637 RXJ196637 RNN196637 RDR196637 QTV196637 QJZ196637 QAD196637 PQH196637 PGL196637 OWP196637 OMT196637 OCX196637 NTB196637 NJF196637 MZJ196637 MPN196637 MFR196637 LVV196637 LLZ196637 LCD196637 KSH196637 KIL196637 JYP196637 JOT196637 JEX196637 IVB196637 ILF196637 IBJ196637 HRN196637 HHR196637 GXV196637 GNZ196637 GED196637 FUH196637 FKL196637 FAP196637 EQT196637 EGX196637 DXB196637 DNF196637 DDJ196637 CTN196637 CJR196637 BZV196637 BPZ196637 BGD196637 AWH196637 AML196637 ACP196637 ST196637 IX196637 WVJ131101 WLN131101 WBR131101 VRV131101 VHZ131101 UYD131101 UOH131101 UEL131101 TUP131101 TKT131101 TAX131101 SRB131101 SHF131101 RXJ131101 RNN131101 RDR131101 QTV131101 QJZ131101 QAD131101 PQH131101 PGL131101 OWP131101 OMT131101 OCX131101 NTB131101 NJF131101 MZJ131101 MPN131101 MFR131101 LVV131101 LLZ131101 LCD131101 KSH131101 KIL131101 JYP131101 JOT131101 JEX131101 IVB131101 ILF131101 IBJ131101 HRN131101 HHR131101 GXV131101 GNZ131101 GED131101 FUH131101 FKL131101 FAP131101 EQT131101 EGX131101 DXB131101 DNF131101 DDJ131101 CTN131101 CJR131101 BZV131101 BPZ131101 BGD131101 AWH131101 AML131101 ACP131101 ST131101 IX131101 WVJ65565 WLN65565 WBR65565 VRV65565 VHZ65565 UYD65565 UOH65565 UEL65565 TUP65565 TKT65565 TAX65565 SRB65565 SHF65565 RXJ65565 RNN65565 RDR65565 QTV65565 QJZ65565 QAD65565 PQH65565 PGL65565 OWP65565 OMT65565 OCX65565 NTB65565 NJF65565 MZJ65565 MPN65565 MFR65565 LVV65565 LLZ65565 LCD65565 KSH65565 KIL65565 JYP65565 JOT65565 JEX65565 IVB65565 ILF65565 IBJ65565 HRN65565 HHR65565 GXV65565 GNZ65565 GED65565 FUH65565 FKL65565 FAP65565 EQT65565 EGX65565 DXB65565 DNF65565 DDJ65565 CTN65565 CJR65565 BZV65565 BPZ65565 BGD65565 AWH65565 AML65565 ACP65565 ST65565 IX65565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IX11 IX14:IX16 ST14:ST16 ACP14:ACP16 AML14:AML16 AWH14:AWH16 BGD14:BGD16 BPZ14:BPZ16 BZV14:BZV16 CJR14:CJR16 CTN14:CTN16 DDJ14:DDJ16 DNF14:DNF16 DXB14:DXB16 EGX14:EGX16 EQT14:EQT16 FAP14:FAP16 FKL14:FKL16 FUH14:FUH16 GED14:GED16 GNZ14:GNZ16 GXV14:GXV16 HHR14:HHR16 HRN14:HRN16 IBJ14:IBJ16 ILF14:ILF16 IVB14:IVB16 JEX14:JEX16 JOT14:JOT16 JYP14:JYP16 KIL14:KIL16 KSH14:KSH16 LCD14:LCD16 LLZ14:LLZ16 LVV14:LVV16 MFR14:MFR16 MPN14:MPN16 MZJ14:MZJ16 NJF14:NJF16 NTB14:NTB16 OCX14:OCX16 OMT14:OMT16 OWP14:OWP16 PGL14:PGL16 PQH14:PQH16 QAD14:QAD16 QJZ14:QJZ16 QTV14:QTV16 RDR14:RDR16 RNN14:RNN16 RXJ14:RXJ16 SHF14:SHF16 SRB14:SRB16 TAX14:TAX16 TKT14:TKT16 TUP14:TUP16 UEL14:UEL16 UOH14:UOH16 UYD14:UYD16 VHZ14:VHZ16 VRV14:VRV16 WBR14:WBR16 WLN14:WLN16 WVJ14:WVJ16" xr:uid="{00000000-0002-0000-0000-000000000000}">
      <formula1>"30,90,180,270,360"</formula1>
    </dataValidation>
    <dataValidation type="list" allowBlank="1" showInputMessage="1" showErrorMessage="1" sqref="D32" xr:uid="{5F4DFD11-8594-4512-8D2B-F05BDC953712}">
      <formula1>$G$32:$G$33</formula1>
    </dataValidation>
    <dataValidation allowBlank="1" showInputMessage="1" showErrorMessage="1" promptTitle="Choisissez votre offre" sqref="D13" xr:uid="{3E8A6AC8-97EC-4773-A794-629624BFC635}"/>
  </dataValidations>
  <printOptions horizontalCentered="1" verticalCentered="1"/>
  <pageMargins left="0" right="0" top="0" bottom="0" header="0" footer="0"/>
  <pageSetup paperSize="9" scale="86" orientation="landscape" r:id="rId1"/>
  <headerFooter alignWithMargins="0">
    <oddFooter>&amp;R&amp;1#&amp;"Calibri"&amp;10&amp;K0000FFClassification : Internal</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Title="Choisissez votre offre" xr:uid="{09CBB25E-13DB-4F1C-BB35-F472F3F48823}">
          <x14:formula1>
            <xm:f>gamme!$N$1:$N$25</xm:f>
          </x14:formula1>
          <xm:sqref>D12:D13</xm:sqref>
        </x14:dataValidation>
        <x14:dataValidation type="whole" allowBlank="1" showInputMessage="1" showErrorMessage="1" xr:uid="{7CC1EC2D-C740-4D61-9F7A-46E24C49DD7B}">
          <x14:formula1>
            <xm:f>'Calcul '!B15</xm:f>
          </x14:formula1>
          <x14:formula2>
            <xm:f>'Calcul '!C15</xm:f>
          </x14:formula2>
          <xm:sqref>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F18AB-FF57-4061-9A48-BFB3009CA60F}">
  <sheetPr codeName="Feuil2">
    <pageSetUpPr fitToPage="1"/>
  </sheetPr>
  <dimension ref="A1:L53"/>
  <sheetViews>
    <sheetView showGridLines="0" topLeftCell="A11" zoomScale="130" zoomScaleNormal="130" workbookViewId="0">
      <selection activeCell="B37" sqref="B37:E37"/>
    </sheetView>
  </sheetViews>
  <sheetFormatPr baseColWidth="10" defaultColWidth="0" defaultRowHeight="13" zeroHeight="1"/>
  <cols>
    <col min="1" max="1" width="5.26953125" style="209" customWidth="1"/>
    <col min="2" max="2" width="11.453125" style="209" customWidth="1"/>
    <col min="3" max="3" width="48.54296875" style="209" customWidth="1"/>
    <col min="4" max="4" width="13.1796875" style="209" customWidth="1"/>
    <col min="5" max="5" width="20.1796875" style="209" customWidth="1"/>
    <col min="6" max="6" width="5.26953125" style="209" customWidth="1"/>
    <col min="7" max="12" width="0" style="209" hidden="1" customWidth="1"/>
    <col min="13" max="16384" width="11.453125" style="209" hidden="1"/>
  </cols>
  <sheetData>
    <row r="1" spans="2:6"/>
    <row r="2" spans="2:6" ht="39.5">
      <c r="B2" s="251" t="str">
        <f>UPPER(Simulateur!D4)</f>
        <v>DREAM FOREVER</v>
      </c>
      <c r="C2" s="251"/>
      <c r="D2" s="252">
        <f>Simulateur!D8</f>
        <v>2890</v>
      </c>
      <c r="E2" s="252"/>
    </row>
    <row r="3" spans="2:6" s="210" customFormat="1" ht="16">
      <c r="B3" s="211"/>
      <c r="C3" s="211"/>
      <c r="D3" s="211" t="str">
        <f xml:space="preserve"> "dont " &amp; TEXT(Simulateur!D10,"# ##0,00€") &amp; " d'éco-participation"</f>
        <v>dont 100,00€ d'éco-participation</v>
      </c>
      <c r="E3" s="211"/>
    </row>
    <row r="4" spans="2:6" ht="28.5" customHeight="1">
      <c r="B4" s="250" t="str">
        <f>UPPER(Simulateur!D6)</f>
        <v>ENSEMBLE MATELAS ET SOMMIER TPR 2X100X200CM</v>
      </c>
      <c r="C4" s="250"/>
      <c r="D4" s="250"/>
      <c r="E4" s="250"/>
    </row>
    <row r="5" spans="2:6" ht="25.5" customHeight="1" thickBot="1"/>
    <row r="6" spans="2:6" ht="111" customHeight="1" thickTop="1">
      <c r="B6" s="254">
        <f>IFERROR('Calcul '!S40,"Simu KO")</f>
        <v>67.400000000000006</v>
      </c>
      <c r="C6" s="255"/>
      <c r="D6" s="255"/>
      <c r="E6" s="256"/>
    </row>
    <row r="7" spans="2:6" ht="50.15" customHeight="1">
      <c r="B7" s="257" t="str">
        <f>"x " &amp; Simulateur!D15 &amp; " mois"</f>
        <v>x 60 mois</v>
      </c>
      <c r="C7" s="258"/>
      <c r="D7" s="258"/>
      <c r="E7" s="259"/>
    </row>
    <row r="8" spans="2:6" s="217" customFormat="1" ht="40" customHeight="1">
      <c r="B8" s="260" t="str">
        <f>IFERROR("Montant total dû :" &amp; TEXT('Calcul '!T40,"# ##0,00€"),"Simu KO")</f>
        <v>Montant total dû :4 044,00€</v>
      </c>
      <c r="C8" s="261"/>
      <c r="D8" s="261"/>
      <c r="E8" s="262"/>
    </row>
    <row r="9" spans="2:6" s="216" customFormat="1" ht="49.5" customHeight="1" thickBot="1">
      <c r="B9" s="263" t="str">
        <f>IFERROR("TAEG Fixe : " &amp; TEXT('Calcul '!H40,"0,00%"),"Simu KO")</f>
        <v>TAEG Fixe : 15,05%</v>
      </c>
      <c r="C9" s="264"/>
      <c r="D9" s="264"/>
      <c r="E9" s="265"/>
      <c r="F9" s="217"/>
    </row>
    <row r="10" spans="2:6" ht="15" thickTop="1">
      <c r="D10" s="212"/>
      <c r="E10" s="229" t="str">
        <f ca="1">"VAT"&amp;_xlfn.XLOOKUP(Simulateur!D12,gamme!B:B,gamme!E:E)&amp;"CB"&amp;_xlfn.XLOOKUP(Simulateur!D12,gamme!B:B,gamme!J:J)&amp;"/"&amp;TODAY()</f>
        <v>VAT60CB270/46146</v>
      </c>
    </row>
    <row r="11" spans="2:6"/>
    <row r="12" spans="2:6"/>
    <row r="13" spans="2:6"/>
    <row r="14" spans="2:6"/>
    <row r="15" spans="2:6"/>
    <row r="16" spans="2:6"/>
    <row r="17" spans="2:12" ht="12.75" customHeight="1">
      <c r="C17" s="213"/>
      <c r="D17" s="213"/>
      <c r="E17" s="213"/>
    </row>
    <row r="18" spans="2:12">
      <c r="B18" s="213"/>
      <c r="C18" s="213"/>
      <c r="D18" s="213"/>
      <c r="E18" s="213"/>
    </row>
    <row r="19" spans="2:12">
      <c r="B19" s="213"/>
      <c r="C19" s="213"/>
      <c r="D19" s="213"/>
      <c r="E19" s="213"/>
    </row>
    <row r="20" spans="2:12" ht="12.75" customHeight="1">
      <c r="B20" s="213"/>
      <c r="C20" s="213"/>
      <c r="D20" s="213"/>
      <c r="E20" s="213"/>
    </row>
    <row r="21" spans="2:12">
      <c r="B21" s="213"/>
      <c r="C21" s="213"/>
      <c r="D21" s="213"/>
      <c r="E21" s="213"/>
    </row>
    <row r="22" spans="2:12">
      <c r="B22" s="213"/>
      <c r="C22" s="213"/>
      <c r="D22" s="213"/>
      <c r="E22" s="213"/>
    </row>
    <row r="23" spans="2:12">
      <c r="B23" s="213"/>
      <c r="C23" s="213"/>
      <c r="D23" s="213"/>
      <c r="E23" s="213"/>
    </row>
    <row r="24" spans="2:12" ht="30" customHeight="1">
      <c r="B24" s="213"/>
      <c r="C24" s="213"/>
      <c r="D24" s="213"/>
      <c r="E24" s="213"/>
    </row>
    <row r="25" spans="2:12" ht="13.5" customHeight="1">
      <c r="B25" s="266" t="str">
        <f>"Offre de crédit accessoire à une vente de "&amp;_xlfn.LET(_xlpm.off,Simulateur!D12,_xlpm.minAmt,_xlfn.MINIFS(gamme!C:C,gamme!B:B,_xlpm.off),_xlpm.maxAmt,_xlfn.MAXIFS(gamme!D:D,gamme!B:B,_xlpm.off),IF(OR(_xlpm.minAmt=0,_xlpm.maxAmt=0),"barème non trouvé",TEXT(_xlpm.minAmt,"# ##0,00")&amp;"€ à "&amp;TEXT(_xlpm.maxAmt,"# ##0,00")&amp;"€"))&amp;", sur une durée de "&amp;Simulateur!D15&amp;" mois,"</f>
        <v>Offre de crédit accessoire à une vente de 960,00€ à 25 000,00€, sur une durée de 60 mois,</v>
      </c>
      <c r="C25" s="266"/>
      <c r="D25" s="266"/>
      <c r="E25" s="266"/>
    </row>
    <row r="26" spans="2:12" ht="12.75" customHeight="1">
      <c r="B26" s="266" t="str">
        <f>"pour un achat de "&amp;_xlfn.LET(_xlpm.off,Simulateur!D12,_xlpm.minAmt,_xlfn.MINIFS(gamme!C:C,gamme!B:B,_xlpm.off),_xlpm.maxAmt,_xlfn.MAXIFS(gamme!D:D,gamme!B:B,_xlpm.off),IF(OR(_xlpm.minAmt=0,_xlpm.maxAmt=0),"barème non trouvé",TEXT(_xlpm.minAmt,"# ##0,00")&amp;"€ à "&amp;TEXT(_xlpm.maxAmt,"# ##0,00")&amp;"€"))&amp;IF(Simulateur!D17=0,". Le coût du crédit est pris en charge par votre magasin.","")</f>
        <v>pour un achat de 960,00€ à 25 000,00€</v>
      </c>
      <c r="C26" s="266"/>
      <c r="D26" s="266"/>
      <c r="E26" s="266"/>
    </row>
    <row r="27" spans="2:12" ht="12" customHeight="1">
      <c r="B27" s="266" t="str">
        <f ca="1">"Taux Annuel Effectif Global fixe de "&amp;TEXT('Calcul '!H40,"0,00%")&amp;". Conditions en vigueur au 01/01/"&amp;YEAR(TODAY())&amp;"."</f>
        <v>Taux Annuel Effectif Global fixe de 15,05%. Conditions en vigueur au 01/01/2026.</v>
      </c>
      <c r="C27" s="266"/>
      <c r="D27" s="266"/>
      <c r="E27" s="266"/>
      <c r="I27" s="253"/>
      <c r="J27" s="253"/>
      <c r="K27" s="253"/>
      <c r="L27" s="253"/>
    </row>
    <row r="28" spans="2:12" ht="12.75" customHeight="1">
      <c r="B28" s="268" t="str">
        <f>"Exemple pour un achat et un crédit accessoire à une vente de "&amp;TEXT('Calcul '!A40,"# ##0,00 €")&amp;" sur "&amp;'Calcul '!N40&amp;" mois au Taux Annuel Effectif Global (TAEG) fixe de "&amp;TEXT('Calcul '!H40,"0,00%")&amp;" (taux débiteur fixe de "&amp;TEXT('Calcul '!G40,"0,00%")&amp;"), vous remboursez "&amp;'Calcul '!R40&amp;" mensualités de "&amp;TEXT('Calcul '!S40,"# ##0,00 €")&amp;IF(Simulateur!D15&gt;=12,", hors assurance facultative.",".")&amp;" Montant total dû par l’emprunteur : "&amp;TEXT('Calcul '!T40,"# ##0,00 €")&amp;IF(Simulateur!D15&gt;=12,", hors assurance facultative.",".")&amp;IF(Simulateur!D17=0," Le coût du crédit (TAEG fixe : "&amp;ROUND('Calcul '!H5*100,2)&amp;"%, taux débiteur fixe de "&amp;ROUND('Calcul '!G5*100,2)&amp;"% intérêts : "&amp;ROUND(PMT('Calcul '!$G$5/12,'Calcul '!$R$40,-'Calcul '!$K$40)*('Calcul '!R40)-('Calcul '!K40),2)&amp;" €) est pris en charge par votre magasin.","")</f>
        <v>Exemple pour un achat et un crédit accessoire à une vente de 2 890,00 € sur 60 mois au Taux Annuel Effectif Global (TAEG) fixe de 15,05% (taux débiteur fixe de 14,10%), vous remboursez 60 mensualités de 67,40 €, hors assurance facultative. Montant total dû par l’emprunteur : 4 044,00 €, hors assurance facultative.</v>
      </c>
      <c r="C28" s="268"/>
      <c r="D28" s="268"/>
      <c r="E28" s="268"/>
      <c r="I28" s="253"/>
      <c r="J28" s="253"/>
      <c r="K28" s="253"/>
      <c r="L28" s="253"/>
    </row>
    <row r="29" spans="2:12">
      <c r="B29" s="268"/>
      <c r="C29" s="268"/>
      <c r="D29" s="268"/>
      <c r="E29" s="268"/>
      <c r="I29" s="253"/>
      <c r="J29" s="253"/>
      <c r="K29" s="253"/>
      <c r="L29" s="253"/>
    </row>
    <row r="30" spans="2:12" ht="11.25" customHeight="1">
      <c r="B30" s="268"/>
      <c r="C30" s="268"/>
      <c r="D30" s="268"/>
      <c r="E30" s="268"/>
      <c r="I30" s="253"/>
      <c r="J30" s="253"/>
      <c r="K30" s="253"/>
      <c r="L30" s="253"/>
    </row>
    <row r="31" spans="2:12" ht="13.5" customHeight="1">
      <c r="B31" s="268"/>
      <c r="C31" s="268"/>
      <c r="D31" s="268"/>
      <c r="E31" s="268"/>
      <c r="I31" s="253"/>
      <c r="J31" s="253"/>
      <c r="K31" s="253"/>
      <c r="L31" s="253"/>
    </row>
    <row r="32" spans="2:12">
      <c r="B32" s="268" t="str">
        <f>IF(Simulateur!D15&gt;11,"Le coût de l'assurance facultative (Décès, perte totale et Irréversible d'Autonomie et incapacité temporaire totale de travail) souscrite auprès de Cardif Assurance Vie et Cardif Assurances Risques Divers jusqu’à 64 ans est de " &amp; TEXT('Calcul '!AB40,"# ##0,00 €") &amp; " et s'ajoute au montant de la mensualité de l'exemple ci-dessus. Le coût total de l'assurance facultative est de " &amp; TEXT('Calcul '!X40,"# ##0,00 €") &amp; ", le taux annuel effectif de l'assurance (TAEA) est de " &amp; TEXT('Calcul '!AN40,"0,00%")&amp;".","")</f>
        <v>Le coût de l'assurance facultative (Décès, perte totale et Irréversible d'Autonomie et incapacité temporaire totale de travail) souscrite auprès de Cardif Assurance Vie et Cardif Assurances Risques Divers jusqu’à 64 ans est de 5,07 € et s'ajoute au montant de la mensualité de l'exemple ci-dessus. Le coût total de l'assurance facultative est de 304,20 €, le taux annuel effectif de l'assurance (TAEA) est de 3,82%.</v>
      </c>
      <c r="C32" s="268"/>
      <c r="D32" s="268"/>
      <c r="E32" s="268"/>
      <c r="I32" s="253"/>
      <c r="J32" s="253"/>
      <c r="K32" s="253"/>
      <c r="L32" s="253"/>
    </row>
    <row r="33" spans="2:12" ht="19.5" customHeight="1">
      <c r="B33" s="268"/>
      <c r="C33" s="268"/>
      <c r="D33" s="268"/>
      <c r="E33" s="268"/>
      <c r="I33" s="253"/>
      <c r="J33" s="253"/>
      <c r="K33" s="253"/>
      <c r="L33" s="253"/>
    </row>
    <row r="34" spans="2:12" ht="17.25" customHeight="1">
      <c r="B34" s="268"/>
      <c r="C34" s="268"/>
      <c r="D34" s="268"/>
      <c r="E34" s="268"/>
      <c r="I34" s="253"/>
      <c r="J34" s="253"/>
      <c r="K34" s="253"/>
      <c r="L34" s="253"/>
    </row>
    <row r="35" spans="2:12" ht="9" customHeight="1">
      <c r="B35" s="267" t="s">
        <v>26</v>
      </c>
      <c r="C35" s="267"/>
      <c r="D35" s="267"/>
      <c r="E35" s="267"/>
      <c r="I35" s="253"/>
      <c r="J35" s="253"/>
      <c r="K35" s="253"/>
      <c r="L35" s="253"/>
    </row>
    <row r="36" spans="2:12" ht="10.5" customHeight="1">
      <c r="B36" s="267"/>
      <c r="C36" s="267"/>
      <c r="D36" s="267"/>
      <c r="E36" s="267"/>
      <c r="F36" s="228"/>
      <c r="I36" s="253"/>
      <c r="J36" s="253"/>
      <c r="K36" s="253"/>
      <c r="L36" s="253"/>
    </row>
    <row r="37" spans="2:12" s="233" customFormat="1" ht="28.5" customHeight="1">
      <c r="B37" s="267" t="str">
        <f>"Publicité diffusée par "&amp; Simulateur!D22 &amp; " " &amp; Simulateur!D24 &amp; " RCS " &amp; Simulateur!D26 &amp; ", "&amp; Simulateur!D28 &amp; " ORIAS " &amp; Simulateur!D30 &amp; " en qualité d'intermédiaire en opérations de banques immatriculé dans la catégorie mandataire " &amp; Simulateur!D32 &amp; " de BNP Paribas Personal Finance. Cet intermédiaire apporte son concours à la réalisation d'opérations de crédit sans agir en qualité de prêteur."</f>
        <v>Publicité diffusée par But International 722041860 RCS Meaux, 1 avenue Spinoza 77184 Emerainville ORIAS 10055338 en qualité d'intermédiaire en opérations de banques immatriculé dans la catégorie mandataire exclusif de BNP Paribas Personal Finance. Cet intermédiaire apporte son concours à la réalisation d'opérations de crédit sans agir en qualité de prêteur.</v>
      </c>
      <c r="C37" s="267"/>
      <c r="D37" s="267"/>
      <c r="E37" s="267"/>
      <c r="I37" s="253"/>
      <c r="J37" s="253"/>
      <c r="K37" s="253"/>
      <c r="L37" s="253"/>
    </row>
    <row r="38" spans="2:12">
      <c r="C38" s="214"/>
      <c r="D38" s="214"/>
      <c r="E38" s="214"/>
      <c r="I38" s="253"/>
      <c r="J38" s="253"/>
      <c r="K38" s="253"/>
      <c r="L38" s="253"/>
    </row>
    <row r="39" spans="2:12">
      <c r="B39" s="215"/>
      <c r="C39" s="214"/>
      <c r="D39" s="214"/>
      <c r="E39" s="214"/>
    </row>
    <row r="40" spans="2:12">
      <c r="B40" s="214"/>
      <c r="C40" s="214"/>
      <c r="D40" s="214"/>
      <c r="E40" s="214"/>
      <c r="G40" s="214"/>
    </row>
    <row r="41" spans="2:12">
      <c r="B41" s="214"/>
      <c r="C41" s="214"/>
      <c r="D41" s="214"/>
      <c r="E41" s="214"/>
    </row>
    <row r="42" spans="2:12">
      <c r="B42" s="214"/>
      <c r="C42" s="214"/>
      <c r="D42" s="214"/>
      <c r="E42" s="214"/>
    </row>
    <row r="43" spans="2:12" hidden="1">
      <c r="B43" s="214"/>
      <c r="C43" s="214"/>
      <c r="D43" s="214"/>
      <c r="E43" s="214"/>
    </row>
    <row r="44" spans="2:12" hidden="1">
      <c r="B44" s="214"/>
      <c r="C44" s="214"/>
      <c r="D44" s="214"/>
      <c r="E44" s="214"/>
    </row>
    <row r="45" spans="2:12" hidden="1">
      <c r="B45" s="214"/>
      <c r="C45" s="214"/>
      <c r="D45" s="214"/>
      <c r="E45" s="214"/>
    </row>
    <row r="46" spans="2:12" hidden="1">
      <c r="B46" s="214"/>
      <c r="C46" s="214"/>
      <c r="D46" s="214"/>
      <c r="E46" s="214"/>
    </row>
    <row r="47" spans="2:12" hidden="1">
      <c r="B47" s="214"/>
      <c r="C47" s="214"/>
      <c r="D47" s="214"/>
      <c r="E47" s="214"/>
    </row>
    <row r="48" spans="2:12" hidden="1">
      <c r="B48" s="214"/>
      <c r="C48" s="214"/>
      <c r="D48" s="214"/>
      <c r="E48" s="214"/>
    </row>
    <row r="49" spans="2:5" hidden="1">
      <c r="B49" s="214"/>
      <c r="C49" s="214"/>
      <c r="D49" s="214"/>
      <c r="E49" s="214"/>
    </row>
    <row r="50" spans="2:5" hidden="1">
      <c r="B50" s="214"/>
      <c r="C50" s="214"/>
      <c r="D50" s="214"/>
      <c r="E50" s="214"/>
    </row>
    <row r="51" spans="2:5" hidden="1">
      <c r="B51" s="214"/>
      <c r="C51" s="214"/>
      <c r="D51" s="214"/>
      <c r="E51" s="214"/>
    </row>
    <row r="52" spans="2:5" hidden="1">
      <c r="B52" s="214"/>
      <c r="C52" s="214"/>
      <c r="D52" s="214"/>
      <c r="E52" s="214"/>
    </row>
    <row r="53" spans="2:5"/>
  </sheetData>
  <sheetProtection algorithmName="SHA-512" hashValue="CstpOwiEBujPrQ8j+JQRfe8zrxpxsqVhNJdwG5QGtpm8q3Zm6N7fFuo20O9VZnVM21GW9Xt0UI6oxZb19RFETw==" saltValue="8hiHSm1tCyj3b6/el7GXkA==" spinCount="100000" sheet="1" objects="1" scenarios="1" selectLockedCells="1"/>
  <mergeCells count="15">
    <mergeCell ref="B4:E4"/>
    <mergeCell ref="B2:C2"/>
    <mergeCell ref="D2:E2"/>
    <mergeCell ref="I27:L38"/>
    <mergeCell ref="B6:E6"/>
    <mergeCell ref="B7:E7"/>
    <mergeCell ref="B8:E8"/>
    <mergeCell ref="B9:E9"/>
    <mergeCell ref="B25:E25"/>
    <mergeCell ref="B26:E26"/>
    <mergeCell ref="B27:E27"/>
    <mergeCell ref="B35:E36"/>
    <mergeCell ref="B37:E37"/>
    <mergeCell ref="B32:E34"/>
    <mergeCell ref="B28:E31"/>
  </mergeCells>
  <printOptions horizontalCentered="1"/>
  <pageMargins left="0.4" right="0.4" top="0.6" bottom="0.6" header="0" footer="0"/>
  <pageSetup paperSize="9" scale="93"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theme="5" tint="0.39997558519241921"/>
  </sheetPr>
  <dimension ref="A1:AN242"/>
  <sheetViews>
    <sheetView topLeftCell="B28" zoomScale="55" zoomScaleNormal="55" zoomScaleSheetLayoutView="50" workbookViewId="0">
      <selection activeCell="B42" sqref="B42"/>
    </sheetView>
  </sheetViews>
  <sheetFormatPr baseColWidth="10" defaultColWidth="11.453125" defaultRowHeight="36" customHeight="1"/>
  <cols>
    <col min="1" max="1" width="24.54296875" style="33" bestFit="1" customWidth="1"/>
    <col min="2" max="2" width="30.26953125" style="34" bestFit="1" customWidth="1"/>
    <col min="3" max="3" width="19.54296875" style="34" customWidth="1"/>
    <col min="4" max="4" width="20.54296875" style="33" bestFit="1" customWidth="1"/>
    <col min="5" max="5" width="22.1796875" style="33" bestFit="1" customWidth="1"/>
    <col min="6" max="7" width="19" style="33" bestFit="1" customWidth="1"/>
    <col min="8" max="8" width="19.26953125" style="33" customWidth="1"/>
    <col min="9" max="9" width="19.26953125" style="33" bestFit="1" customWidth="1"/>
    <col min="10" max="10" width="20.1796875" style="33" customWidth="1"/>
    <col min="11" max="12" width="19.453125" style="33" bestFit="1" customWidth="1"/>
    <col min="13" max="13" width="19.54296875" style="33" bestFit="1" customWidth="1"/>
    <col min="14" max="14" width="19.26953125" style="33" bestFit="1" customWidth="1"/>
    <col min="15" max="15" width="22.7265625" style="33" bestFit="1" customWidth="1"/>
    <col min="16" max="16" width="19.26953125" style="33" bestFit="1" customWidth="1"/>
    <col min="17" max="17" width="19.54296875" style="35" bestFit="1" customWidth="1"/>
    <col min="18" max="18" width="21" style="33" bestFit="1" customWidth="1"/>
    <col min="19" max="19" width="21.1796875" style="33" bestFit="1" customWidth="1"/>
    <col min="20" max="20" width="22.453125" style="33" bestFit="1" customWidth="1"/>
    <col min="21" max="21" width="21.54296875" style="33" customWidth="1"/>
    <col min="22" max="22" width="19.453125" style="33" bestFit="1" customWidth="1"/>
    <col min="23" max="23" width="21.1796875" style="33" bestFit="1" customWidth="1"/>
    <col min="24" max="24" width="19.26953125" style="33" bestFit="1" customWidth="1"/>
    <col min="25" max="25" width="21.7265625" style="33" customWidth="1"/>
    <col min="26" max="26" width="21.54296875" style="33" bestFit="1" customWidth="1"/>
    <col min="27" max="27" width="19.26953125" style="33" bestFit="1" customWidth="1"/>
    <col min="28" max="28" width="31.81640625" style="33" customWidth="1"/>
    <col min="29" max="29" width="32.1796875" style="33" bestFit="1" customWidth="1"/>
    <col min="30" max="31" width="26.1796875" style="33" customWidth="1"/>
    <col min="32" max="32" width="16.453125" style="33" customWidth="1"/>
    <col min="33" max="33" width="21.54296875" style="33" bestFit="1" customWidth="1"/>
    <col min="34" max="34" width="16.7265625" style="33" customWidth="1"/>
    <col min="35" max="35" width="21.54296875" style="33" bestFit="1" customWidth="1"/>
    <col min="36" max="36" width="19.54296875" style="33" customWidth="1"/>
    <col min="37" max="37" width="21.54296875" style="33" bestFit="1" customWidth="1"/>
    <col min="38" max="38" width="14.54296875" style="33" customWidth="1"/>
    <col min="39" max="39" width="14.54296875" style="33" bestFit="1" customWidth="1"/>
    <col min="40" max="40" width="19.81640625" style="33" bestFit="1" customWidth="1"/>
    <col min="41" max="16384" width="11.453125" style="33"/>
  </cols>
  <sheetData>
    <row r="1" spans="1:39" ht="38.15" customHeight="1">
      <c r="D1" s="225"/>
      <c r="J1" s="35"/>
      <c r="AF1" s="140"/>
      <c r="AG1" s="140"/>
    </row>
    <row r="2" spans="1:39" ht="38.15" customHeight="1">
      <c r="C2" s="34" t="s">
        <v>27</v>
      </c>
      <c r="J2" s="35"/>
      <c r="AD2" s="186"/>
      <c r="AE2" s="186"/>
      <c r="AF2" s="186"/>
    </row>
    <row r="3" spans="1:39" ht="38.15" customHeight="1" thickBot="1">
      <c r="B3" s="338" t="s">
        <v>28</v>
      </c>
      <c r="C3" s="339"/>
      <c r="D3" s="344" t="s">
        <v>29</v>
      </c>
      <c r="E3" s="344" t="s">
        <v>30</v>
      </c>
      <c r="AD3" s="186"/>
      <c r="AE3" s="186"/>
      <c r="AF3" s="186"/>
    </row>
    <row r="4" spans="1:39" ht="38.15" customHeight="1" thickBot="1">
      <c r="B4" s="330" t="s">
        <v>31</v>
      </c>
      <c r="C4" s="330" t="s">
        <v>32</v>
      </c>
      <c r="D4" s="345"/>
      <c r="E4" s="345"/>
      <c r="G4" s="188" t="s">
        <v>33</v>
      </c>
      <c r="H4" s="181" t="s">
        <v>34</v>
      </c>
    </row>
    <row r="5" spans="1:39" ht="38.15" customHeight="1" thickBot="1">
      <c r="B5" s="331"/>
      <c r="C5" s="331"/>
      <c r="D5" s="346"/>
      <c r="E5" s="346"/>
      <c r="G5" s="189">
        <f>IF($H$5="","",ROUND(12*((1+H5)^(1/12)-1),4))</f>
        <v>0.14099999999999999</v>
      </c>
      <c r="H5" s="190">
        <f>LOOKUP(J40,B6:C7,D6:D7)</f>
        <v>0.15047863172352183</v>
      </c>
    </row>
    <row r="6" spans="1:39" ht="38.15" customHeight="1" thickBot="1">
      <c r="B6" s="133" cm="1">
        <f t="array" ref="B6">_xlfn.LET(_xlpm.offer,Simulateur!D12,_xlpm.amt,Simulateur!D8,_xlpm.mask,(gamme!B3:B70=_xlpm.offer)*(gamme!C3:C70&lt;=_xlpm.amt)*(_xlpm.amt&lt;=gamme!D3:D70),IFERROR(MIN(_xlfn._xlws.FILTER(gamme!C3:C70,_xlpm.mask)),"pas de proposition"))</f>
        <v>960</v>
      </c>
      <c r="C6" s="50" cm="1">
        <f t="array" ref="C6">_xlfn.LET(_xlpm.offer,Simulateur!D12,_xlpm.amt,Simulateur!D8,_xlpm.mask,(gamme!B3:B70=_xlpm.offer)*(gamme!C3:C70&lt;=_xlpm.amt)*(_xlpm.amt&lt;=gamme!D3:D70),IFERROR(MIN(_xlfn._xlws.FILTER(gamme!D3:D70,_xlpm.mask)),"pas de proposition"))</f>
        <v>3000.99</v>
      </c>
      <c r="D6" s="51" cm="1">
        <f t="array" ref="D6">IF(_xlfn.XLOOKUP(Simulateur!D12,gamme!B:B,gamme!K:K)="X",(_xlfn.LET(_xlpm.offer,Simulateur!D12,_xlpm.amt,Simulateur!D8,_xlpm.mask,(gamme!B3:B70=_xlpm.offer)*(gamme!C3:C70&lt;=_xlpm.amt)*(_xlpm.amt&lt;=gamme!D3:D70),IFERROR(MIN(_xlfn._xlws.FILTER(gamme!H3:H70,_xlpm.mask)),"pas de proposition"))),"pas de proposition")</f>
        <v>0.15047863172352183</v>
      </c>
      <c r="E6" s="187" cm="1">
        <f t="array" ref="E6">IF(_xlfn.XLOOKUP(Simulateur!D12,gamme!B:B,gamme!K:K)="X",(_xlfn.LET(_xlpm.offer,Simulateur!D12,_xlpm.amt,Simulateur!D8,_xlpm.mask,(gamme!B3:B70=_xlpm.offer)*(gamme!C3:C70&lt;=_xlpm.amt)*(_xlpm.amt&lt;=gamme!D3:D70),IFERROR(MIN(_xlfn._xlws.FILTER(gamme!I3:I70,_xlpm.mask)),"pas de proposition"))),"pas de proposition")</f>
        <v>0.15047863172352183</v>
      </c>
      <c r="G6" s="191" t="s">
        <v>35</v>
      </c>
      <c r="H6" s="182" t="s">
        <v>36</v>
      </c>
    </row>
    <row r="7" spans="1:39" ht="38.15" customHeight="1" thickBot="1">
      <c r="B7" s="226"/>
      <c r="C7" s="50"/>
      <c r="D7" s="51"/>
      <c r="E7" s="51"/>
      <c r="G7" s="189">
        <f>IF($H$5="","",ROUND(12*((1+H7)^(1/12)-1),4))</f>
        <v>0.14099999999999999</v>
      </c>
      <c r="H7" s="190">
        <f>LOOKUP(J40,B6:C7,E6:E7)</f>
        <v>0.15047863172352183</v>
      </c>
      <c r="J7" s="35"/>
    </row>
    <row r="8" spans="1:39" ht="38.15" customHeight="1">
      <c r="B8" s="50"/>
      <c r="C8" s="50"/>
      <c r="D8" s="51"/>
      <c r="E8" s="51"/>
      <c r="J8" s="35"/>
    </row>
    <row r="9" spans="1:39" ht="38.15" customHeight="1">
      <c r="B9" s="50"/>
      <c r="C9" s="50"/>
      <c r="D9" s="51"/>
      <c r="E9" s="51"/>
      <c r="G9" s="287" t="s">
        <v>37</v>
      </c>
      <c r="H9" s="287"/>
      <c r="I9" s="287"/>
      <c r="J9" s="287"/>
    </row>
    <row r="10" spans="1:39" ht="38.15" customHeight="1">
      <c r="B10" s="50"/>
      <c r="C10" s="50"/>
      <c r="D10" s="51"/>
      <c r="E10" s="51"/>
      <c r="G10" s="37" t="s">
        <v>38</v>
      </c>
      <c r="H10" s="285" t="s">
        <v>39</v>
      </c>
      <c r="I10" s="285"/>
      <c r="J10" s="285"/>
    </row>
    <row r="11" spans="1:39" ht="38.15" customHeight="1">
      <c r="G11" s="120" t="s">
        <v>40</v>
      </c>
      <c r="H11" s="286" t="s">
        <v>41</v>
      </c>
      <c r="I11" s="286"/>
      <c r="J11" s="286"/>
      <c r="U11" s="321" t="s">
        <v>42</v>
      </c>
      <c r="V11" s="321"/>
      <c r="W11" s="321"/>
      <c r="X11" s="321"/>
      <c r="Y11" s="321"/>
    </row>
    <row r="12" spans="1:39" ht="38.15" customHeight="1">
      <c r="G12" s="104" t="s">
        <v>40</v>
      </c>
      <c r="H12" s="286" t="s">
        <v>43</v>
      </c>
      <c r="I12" s="286"/>
      <c r="J12" s="286"/>
      <c r="O12" s="119"/>
      <c r="U12" s="321"/>
      <c r="V12" s="321"/>
      <c r="W12" s="321"/>
      <c r="X12" s="321"/>
      <c r="Y12" s="321"/>
    </row>
    <row r="13" spans="1:39" ht="38.15" customHeight="1">
      <c r="A13" s="38"/>
      <c r="B13" s="288" t="s">
        <v>44</v>
      </c>
      <c r="C13" s="288"/>
      <c r="D13" s="40"/>
      <c r="E13" s="40"/>
      <c r="F13" s="40"/>
      <c r="G13" s="40"/>
      <c r="H13" s="40"/>
      <c r="I13" s="40"/>
      <c r="J13" s="41"/>
      <c r="K13" s="40"/>
      <c r="L13" s="40"/>
      <c r="M13" s="338" t="s">
        <v>28</v>
      </c>
      <c r="N13" s="339"/>
      <c r="O13" s="332" t="s">
        <v>45</v>
      </c>
      <c r="P13" s="333"/>
      <c r="Q13" s="333"/>
      <c r="R13" s="333"/>
      <c r="S13" s="334"/>
      <c r="U13" s="328" t="s">
        <v>46</v>
      </c>
      <c r="V13" s="329"/>
      <c r="W13" s="329"/>
      <c r="X13" s="329"/>
      <c r="Y13" s="329"/>
      <c r="AA13" s="40"/>
      <c r="AB13" s="40"/>
      <c r="AH13" s="40"/>
      <c r="AI13" s="40"/>
    </row>
    <row r="14" spans="1:39" ht="38.15" customHeight="1">
      <c r="A14" s="38"/>
      <c r="B14" s="123" t="s">
        <v>47</v>
      </c>
      <c r="C14" s="123" t="s">
        <v>48</v>
      </c>
      <c r="D14" s="40"/>
      <c r="E14" s="40"/>
      <c r="F14" s="40"/>
      <c r="G14" s="40"/>
      <c r="H14" s="40"/>
      <c r="I14" s="40"/>
      <c r="J14" s="41"/>
      <c r="K14" s="40"/>
      <c r="L14" s="40"/>
      <c r="M14" s="330" t="s">
        <v>31</v>
      </c>
      <c r="N14" s="330" t="s">
        <v>32</v>
      </c>
      <c r="O14" s="335"/>
      <c r="P14" s="336"/>
      <c r="Q14" s="336"/>
      <c r="R14" s="336"/>
      <c r="S14" s="337"/>
      <c r="U14" s="166" t="s">
        <v>49</v>
      </c>
      <c r="V14" s="168" t="s">
        <v>50</v>
      </c>
      <c r="W14" s="168" t="s">
        <v>51</v>
      </c>
      <c r="X14" s="168" t="s">
        <v>52</v>
      </c>
      <c r="Y14" s="169" t="s">
        <v>53</v>
      </c>
      <c r="Z14" s="42"/>
      <c r="AI14" s="40"/>
      <c r="AJ14" s="40"/>
      <c r="AK14" s="40"/>
      <c r="AL14" s="40"/>
      <c r="AM14" s="40"/>
    </row>
    <row r="15" spans="1:39" ht="38.15" customHeight="1">
      <c r="A15" s="38"/>
      <c r="B15" s="63" cm="1">
        <f t="array" ref="B15">_xlfn.LET(_xlpm.offer,Simulateur!D12,_xlpm.amt,Simulateur!D8,_xlpm.mask,(gamme!B3:B70=_xlpm.offer)*(gamme!C3:C70&lt;=_xlpm.amt)*(_xlpm.amt&lt;=gamme!D3:D70),IFERROR(MIN(_xlfn._xlws.FILTER(gamme!E3:E70,_xlpm.mask)),"pas de proposition"))</f>
        <v>60</v>
      </c>
      <c r="C15" s="64" cm="1">
        <f t="array" ref="C15">_xlfn.LET(_xlpm.offer,Simulateur!D12,_xlpm.amt,Simulateur!D8,_xlpm.mask,(gamme!B3:B70=_xlpm.offer)*(gamme!C3:C70&lt;=_xlpm.amt)*(_xlpm.amt&lt;=gamme!D3:D70),IFERROR(MIN(_xlfn._xlws.FILTER(gamme!F3:F70,_xlpm.mask)),"pas de proposition"))</f>
        <v>60</v>
      </c>
      <c r="D15" s="40"/>
      <c r="E15" s="40"/>
      <c r="F15" s="40"/>
      <c r="G15" s="40"/>
      <c r="H15" s="40"/>
      <c r="I15" s="40"/>
      <c r="J15" s="41"/>
      <c r="K15" s="40"/>
      <c r="L15" s="40"/>
      <c r="M15" s="331"/>
      <c r="N15" s="331"/>
      <c r="O15" s="44">
        <f>B15</f>
        <v>60</v>
      </c>
      <c r="P15" s="45">
        <v>10</v>
      </c>
      <c r="Q15" s="46">
        <v>24</v>
      </c>
      <c r="R15" s="47">
        <v>48</v>
      </c>
      <c r="S15" s="48">
        <v>96</v>
      </c>
      <c r="U15" s="162">
        <v>12</v>
      </c>
      <c r="V15" s="163">
        <v>3.2500000000000001E-2</v>
      </c>
      <c r="W15" s="164">
        <v>3.2500000000000001E-2</v>
      </c>
      <c r="X15" s="163">
        <v>2.86E-2</v>
      </c>
      <c r="Y15" s="163">
        <v>4.41E-2</v>
      </c>
      <c r="Z15" s="49"/>
      <c r="AI15" s="40"/>
      <c r="AJ15" s="40"/>
      <c r="AK15" s="40"/>
      <c r="AL15" s="40"/>
      <c r="AM15" s="40"/>
    </row>
    <row r="16" spans="1:39" ht="38.15" customHeight="1">
      <c r="A16" s="38"/>
      <c r="B16" s="39"/>
      <c r="C16" s="39"/>
      <c r="D16" s="42"/>
      <c r="E16" s="42"/>
      <c r="F16" s="42"/>
      <c r="G16" s="42"/>
      <c r="H16" s="42"/>
      <c r="I16" s="42"/>
      <c r="J16" s="41"/>
      <c r="K16" s="42"/>
      <c r="L16" s="42"/>
      <c r="M16" s="194">
        <f>B6</f>
        <v>960</v>
      </c>
      <c r="N16" s="194">
        <f>C6</f>
        <v>3000.99</v>
      </c>
      <c r="O16" s="193" cm="1">
        <f t="array" ref="O16">ROUND(12*((1+(SUMPRODUCT((($B$6:$B$7)&lt;=$J$40)*(($C$6:$C$7)&gt;=$J$40)*($E$6:$E$7))))^(1/12)-1),4)</f>
        <v>0.14099999999999999</v>
      </c>
      <c r="P16" s="193" cm="1">
        <f t="array" ref="P16">ROUND(12*((1+(SUMPRODUCT((($B$6:$B$7)&lt;=$J$40)*(($C$6:$C$7)&gt;=$J$40)*($E$6:$E$7))))^(1/12)-1),4)</f>
        <v>0.14099999999999999</v>
      </c>
      <c r="Q16" s="193" cm="1">
        <f t="array" ref="Q16">ROUND(12*((1+(SUMPRODUCT((($B$6:$B$7)&lt;=$J$40)*(($C$6:$C$7)&gt;=$J$40)*($E$6:$E$7))))^(1/12)-1),4)</f>
        <v>0.14099999999999999</v>
      </c>
      <c r="R16" s="193" cm="1">
        <f t="array" ref="R16">ROUND(12*((1+(SUMPRODUCT((($B$6:$B$7)&lt;=$J$40)*(($C$6:$C$7)&gt;=$J$40)*($E$6:$E$7))))^(1/12)-1),4)</f>
        <v>0.14099999999999999</v>
      </c>
      <c r="S16" s="193" cm="1">
        <f t="array" ref="S16">ROUND(12*((1+(SUMPRODUCT((($B$6:$B$7)&lt;=$J$40)*(($C$6:$C$7)&gt;=$J$40)*($E$6:$E$7))))^(1/12)-1),4)</f>
        <v>0.14099999999999999</v>
      </c>
      <c r="U16" s="162">
        <v>19</v>
      </c>
      <c r="V16" s="163">
        <v>3.875E-2</v>
      </c>
      <c r="W16" s="164">
        <v>3.875E-2</v>
      </c>
      <c r="X16" s="163">
        <v>3.4099999999999998E-2</v>
      </c>
      <c r="Y16" s="163">
        <v>4.9349999999999998E-2</v>
      </c>
      <c r="Z16" s="49"/>
      <c r="AI16" s="42"/>
      <c r="AJ16" s="42"/>
      <c r="AK16" s="42"/>
      <c r="AL16" s="42"/>
      <c r="AM16" s="42"/>
    </row>
    <row r="17" spans="1:39" ht="38.15" customHeight="1">
      <c r="B17" s="288" t="s">
        <v>54</v>
      </c>
      <c r="C17" s="288"/>
      <c r="E17" s="42"/>
      <c r="F17" s="42"/>
      <c r="G17" s="42"/>
      <c r="H17" s="42"/>
      <c r="I17" s="42"/>
      <c r="J17" s="41"/>
      <c r="K17" s="42"/>
      <c r="L17" s="42"/>
      <c r="M17" s="194">
        <f>B7</f>
        <v>0</v>
      </c>
      <c r="N17" s="194">
        <f>C7</f>
        <v>0</v>
      </c>
      <c r="O17" s="193" cm="1">
        <f t="array" ref="O17">ROUND(12*((1+(SUMPRODUCT((($B$6:$B$7)&lt;=$J$40)*(($C$6:$C$7)&gt;=$J$40)*($E$6:$E$7))))^(1/12)-1),4)</f>
        <v>0.14099999999999999</v>
      </c>
      <c r="P17" s="193" cm="1">
        <f t="array" ref="P17">ROUND(12*((1+(SUMPRODUCT((($B$6:$B$7)&lt;=$J$40)*(($C$6:$C$7)&gt;=$J$40)*($E$6:$E$7))))^(1/12)-1),4)</f>
        <v>0.14099999999999999</v>
      </c>
      <c r="Q17" s="193" cm="1">
        <f t="array" ref="Q17">ROUND(12*((1+(SUMPRODUCT((($B$6:$B$7)&lt;=$J$40)*(($C$6:$C$7)&gt;=$J$40)*($E$6:$E$7))))^(1/12)-1),4)</f>
        <v>0.14099999999999999</v>
      </c>
      <c r="R17" s="193" cm="1">
        <f t="array" ref="R17">ROUND(12*((1+(SUMPRODUCT((($B$6:$B$7)&lt;=$J$40)*(($C$6:$C$7)&gt;=$J$40)*($E$6:$E$7))))^(1/12)-1),4)</f>
        <v>0.14099999999999999</v>
      </c>
      <c r="S17" s="193" cm="1">
        <f t="array" ref="S17">ROUND(12*((1+(SUMPRODUCT((($B$6:$B$7)&lt;=$J$40)*(($C$6:$C$7)&gt;=$J$40)*($E$6:$E$7))))^(1/12)-1),4)</f>
        <v>0.14099999999999999</v>
      </c>
      <c r="U17" s="162">
        <v>25</v>
      </c>
      <c r="V17" s="163">
        <v>4.2500000000000003E-2</v>
      </c>
      <c r="W17" s="164">
        <v>4.2500000000000003E-2</v>
      </c>
      <c r="X17" s="163">
        <v>3.7400000000000003E-2</v>
      </c>
      <c r="Y17" s="163">
        <v>5.7750000000000003E-2</v>
      </c>
      <c r="Z17" s="49"/>
      <c r="AI17" s="42"/>
      <c r="AJ17" s="42"/>
      <c r="AK17" s="42"/>
      <c r="AL17" s="42"/>
      <c r="AM17" s="42"/>
    </row>
    <row r="18" spans="1:39" ht="38.15" customHeight="1">
      <c r="B18" s="123" t="s">
        <v>47</v>
      </c>
      <c r="C18" s="123" t="s">
        <v>48</v>
      </c>
      <c r="E18" s="42"/>
      <c r="F18" s="42"/>
      <c r="G18" s="42"/>
      <c r="H18" s="42"/>
      <c r="I18" s="42"/>
      <c r="J18" s="41"/>
      <c r="K18" s="42"/>
      <c r="L18" s="42"/>
      <c r="M18" s="194">
        <f t="shared" ref="M18:N18" si="0">B8</f>
        <v>0</v>
      </c>
      <c r="N18" s="194">
        <f t="shared" si="0"/>
        <v>0</v>
      </c>
      <c r="O18" s="193" cm="1">
        <f t="array" ref="O18">ROUND(12*((1+(SUMPRODUCT((($B$6:$B$7)&lt;=$J$40)*(($C$6:$C$7)&gt;=$J$40)*($E$6:$E$7))))^(1/12)-1),4)</f>
        <v>0.14099999999999999</v>
      </c>
      <c r="P18" s="193" cm="1">
        <f t="array" ref="P18">ROUND(12*((1+(SUMPRODUCT((($B$6:$B$7)&lt;=$J$40)*(($C$6:$C$7)&gt;=$J$40)*($E$6:$E$7))))^(1/12)-1),4)</f>
        <v>0.14099999999999999</v>
      </c>
      <c r="Q18" s="193" cm="1">
        <f t="array" ref="Q18">ROUND(12*((1+(SUMPRODUCT((($B$6:$B$7)&lt;=$J$40)*(($C$6:$C$7)&gt;=$J$40)*($E$6:$E$7))))^(1/12)-1),4)</f>
        <v>0.14099999999999999</v>
      </c>
      <c r="R18" s="193" cm="1">
        <f t="array" ref="R18">ROUND(12*((1+(SUMPRODUCT((($B$6:$B$7)&lt;=$J$40)*(($C$6:$C$7)&gt;=$J$40)*($E$6:$E$7))))^(1/12)-1),4)</f>
        <v>0.14099999999999999</v>
      </c>
      <c r="S18" s="193" cm="1">
        <f t="array" ref="S18">ROUND(12*((1+(SUMPRODUCT((($B$6:$B$7)&lt;=$J$40)*(($C$6:$C$7)&gt;=$J$40)*($E$6:$E$7))))^(1/12)-1),4)</f>
        <v>0.14099999999999999</v>
      </c>
      <c r="U18" s="162">
        <v>37</v>
      </c>
      <c r="V18" s="163">
        <v>7.2889999999999996E-2</v>
      </c>
      <c r="W18" s="164">
        <v>7.288E-2</v>
      </c>
      <c r="X18" s="163">
        <v>6.4070000000000002E-2</v>
      </c>
      <c r="Y18" s="163">
        <v>7.7990000000000004E-2</v>
      </c>
      <c r="Z18" s="40"/>
      <c r="AI18" s="42"/>
      <c r="AJ18" s="42"/>
      <c r="AK18" s="42"/>
      <c r="AL18" s="42"/>
      <c r="AM18" s="42"/>
    </row>
    <row r="19" spans="1:39" ht="38.15" customHeight="1">
      <c r="B19" s="37" cm="1">
        <f t="array" ref="B19">_xlfn.LET(_xlpm.offer,Simulateur!D12,_xlpm.amt,Simulateur!D8,_xlpm.mask,(gamme!B3:B70=_xlpm.offer)*(gamme!C3:C70&lt;=_xlpm.amt)*(_xlpm.amt&lt;=gamme!D3:D70),IFERROR(MIN(_xlfn._xlws.FILTER(gamme!C3:C70,_xlpm.mask)),"pas de proposition"))</f>
        <v>960</v>
      </c>
      <c r="C19" s="65" cm="1">
        <f t="array" ref="C19">_xlfn.LET(_xlpm.offer,Simulateur!D12,_xlpm.amt,Simulateur!D8,_xlpm.mask,(gamme!B3:B70=_xlpm.offer)*(gamme!C3:C70&lt;=_xlpm.amt)*(_xlpm.amt&lt;=gamme!D3:D70),IFERROR(MIN(_xlfn._xlws.FILTER(gamme!D3:D70,_xlpm.mask)),"pas de proposition"))</f>
        <v>3000.99</v>
      </c>
      <c r="E19" s="42"/>
      <c r="F19" s="42"/>
      <c r="G19" s="42"/>
      <c r="H19" s="42"/>
      <c r="I19" s="42"/>
      <c r="J19" s="41"/>
      <c r="K19" s="42"/>
      <c r="L19" s="42"/>
      <c r="M19" s="194">
        <f t="shared" ref="M19:N19" si="1">B9</f>
        <v>0</v>
      </c>
      <c r="N19" s="194">
        <f t="shared" si="1"/>
        <v>0</v>
      </c>
      <c r="O19" s="193" cm="1">
        <f t="array" ref="O19">ROUND(12*((1+(SUMPRODUCT((($B$6:$B$7)&lt;=$J$40)*(($C$6:$C$7)&gt;=$J$40)*($E$6:$E$7))))^(1/12)-1),4)</f>
        <v>0.14099999999999999</v>
      </c>
      <c r="P19" s="193" cm="1">
        <f t="array" ref="P19">ROUND(12*((1+(SUMPRODUCT((($B$6:$B$7)&lt;=$J$40)*(($C$6:$C$7)&gt;=$J$40)*($E$6:$E$7))))^(1/12)-1),4)</f>
        <v>0.14099999999999999</v>
      </c>
      <c r="Q19" s="193" cm="1">
        <f t="array" ref="Q19">ROUND(12*((1+(SUMPRODUCT((($B$6:$B$7)&lt;=$J$40)*(($C$6:$C$7)&gt;=$J$40)*($E$6:$E$7))))^(1/12)-1),4)</f>
        <v>0.14099999999999999</v>
      </c>
      <c r="R19" s="193" cm="1">
        <f t="array" ref="R19">ROUND(12*((1+(SUMPRODUCT((($B$6:$B$7)&lt;=$J$40)*(($C$6:$C$7)&gt;=$J$40)*($E$6:$E$7))))^(1/12)-1),4)</f>
        <v>0.14099999999999999</v>
      </c>
      <c r="S19" s="193" cm="1">
        <f t="array" ref="S19">ROUND(12*((1+(SUMPRODUCT((($B$6:$B$7)&lt;=$J$40)*(($C$6:$C$7)&gt;=$J$40)*($E$6:$E$7))))^(1/12)-1),4)</f>
        <v>0.14099999999999999</v>
      </c>
      <c r="U19" s="162">
        <v>49</v>
      </c>
      <c r="V19" s="163">
        <v>8.5489999999999997E-2</v>
      </c>
      <c r="W19" s="164"/>
      <c r="X19" s="163">
        <v>7.5190000000000007E-2</v>
      </c>
      <c r="Y19" s="163">
        <v>8.7590000000000001E-2</v>
      </c>
      <c r="Z19" s="42"/>
      <c r="AI19" s="42"/>
      <c r="AJ19" s="42"/>
      <c r="AK19" s="42"/>
      <c r="AL19" s="42"/>
      <c r="AM19" s="42"/>
    </row>
    <row r="20" spans="1:39" ht="38.15" customHeight="1">
      <c r="E20" s="42"/>
      <c r="F20" s="42"/>
      <c r="G20" s="42"/>
      <c r="H20" s="42"/>
      <c r="I20" s="42"/>
      <c r="J20" s="41"/>
      <c r="K20" s="42"/>
      <c r="L20" s="42"/>
      <c r="M20" s="194">
        <f t="shared" ref="M20:N20" si="2">B10</f>
        <v>0</v>
      </c>
      <c r="N20" s="194">
        <f t="shared" si="2"/>
        <v>0</v>
      </c>
      <c r="O20" s="193" cm="1">
        <f t="array" ref="O20">ROUND(12*((1+(SUMPRODUCT((($B$6:$B$7)&lt;=$J$40)*(($C$6:$C$7)&gt;=$J$40)*($E$6:$E$7))))^(1/12)-1),4)</f>
        <v>0.14099999999999999</v>
      </c>
      <c r="P20" s="193" cm="1">
        <f t="array" ref="P20">ROUND(12*((1+(SUMPRODUCT((($B$6:$B$7)&lt;=$J$40)*(($C$6:$C$7)&gt;=$J$40)*($E$6:$E$7))))^(1/12)-1),4)</f>
        <v>0.14099999999999999</v>
      </c>
      <c r="Q20" s="193" cm="1">
        <f t="array" ref="Q20">ROUND(12*((1+(SUMPRODUCT((($B$6:$B$7)&lt;=$J$40)*(($C$6:$C$7)&gt;=$J$40)*($E$6:$E$7))))^(1/12)-1),4)</f>
        <v>0.14099999999999999</v>
      </c>
      <c r="R20" s="193" cm="1">
        <f t="array" ref="R20">ROUND(12*((1+(SUMPRODUCT((($B$6:$B$7)&lt;=$J$40)*(($C$6:$C$7)&gt;=$J$40)*($E$6:$E$7))))^(1/12)-1),4)</f>
        <v>0.14099999999999999</v>
      </c>
      <c r="S20" s="193" cm="1">
        <f t="array" ref="S20">ROUND(12*((1+(SUMPRODUCT((($B$6:$B$7)&lt;=$J$40)*(($C$6:$C$7)&gt;=$J$40)*($E$6:$E$7))))^(1/12)-1),4)</f>
        <v>0.14099999999999999</v>
      </c>
      <c r="U20" s="162">
        <v>61</v>
      </c>
      <c r="V20" s="163">
        <v>9.5380000000000006E-2</v>
      </c>
      <c r="W20" s="165"/>
      <c r="X20" s="163">
        <v>8.3930000000000005E-2</v>
      </c>
      <c r="Y20" s="163">
        <v>9.5869999999999997E-2</v>
      </c>
      <c r="Z20" s="42"/>
      <c r="AI20" s="42"/>
      <c r="AJ20" s="42"/>
      <c r="AK20" s="42"/>
      <c r="AL20" s="42"/>
      <c r="AM20" s="42"/>
    </row>
    <row r="21" spans="1:39" ht="38.15" customHeight="1">
      <c r="E21" s="42"/>
      <c r="F21" s="42"/>
      <c r="G21" s="42"/>
      <c r="H21" s="42"/>
      <c r="I21" s="42"/>
      <c r="J21" s="41"/>
      <c r="K21" s="42"/>
      <c r="L21" s="42"/>
      <c r="M21" s="42"/>
      <c r="N21" s="42"/>
      <c r="O21" s="38"/>
      <c r="P21" s="42"/>
      <c r="Q21" s="41"/>
      <c r="R21" s="42"/>
      <c r="S21" s="42"/>
      <c r="U21" s="162">
        <v>73</v>
      </c>
      <c r="V21" s="163">
        <v>0.10263</v>
      </c>
      <c r="W21" s="165"/>
      <c r="X21" s="163">
        <v>9.0310000000000001E-2</v>
      </c>
      <c r="Y21" s="163">
        <v>0.10353</v>
      </c>
      <c r="Z21" s="42"/>
      <c r="AI21" s="42"/>
      <c r="AJ21" s="42"/>
      <c r="AK21" s="42"/>
      <c r="AL21" s="42"/>
      <c r="AM21" s="42"/>
    </row>
    <row r="22" spans="1:39" ht="38.15" customHeight="1">
      <c r="A22" s="38"/>
      <c r="E22" s="42"/>
      <c r="F22" s="42"/>
      <c r="G22" s="42"/>
      <c r="H22" s="42"/>
      <c r="I22" s="42"/>
      <c r="J22" s="41"/>
      <c r="K22" s="42"/>
      <c r="L22" s="42"/>
      <c r="M22" s="42"/>
      <c r="N22" s="42"/>
      <c r="O22" s="38"/>
      <c r="P22" s="42"/>
      <c r="Q22" s="41"/>
      <c r="R22" s="42"/>
      <c r="S22" s="42"/>
      <c r="U22" s="162">
        <v>85</v>
      </c>
      <c r="V22" s="163">
        <v>0.11724999999999999</v>
      </c>
      <c r="W22" s="165"/>
      <c r="X22" s="163">
        <v>0.10317999999999999</v>
      </c>
      <c r="Y22" s="163">
        <v>0.11319</v>
      </c>
      <c r="Z22" s="42"/>
      <c r="AI22" s="42"/>
      <c r="AJ22" s="42"/>
      <c r="AK22" s="42"/>
      <c r="AL22" s="42"/>
      <c r="AM22" s="42"/>
    </row>
    <row r="23" spans="1:39" ht="38.15" customHeight="1">
      <c r="A23" s="38"/>
      <c r="E23" s="42"/>
      <c r="F23" s="42"/>
      <c r="G23" s="42"/>
      <c r="H23" s="42"/>
      <c r="I23" s="42"/>
      <c r="J23" s="41"/>
      <c r="K23" s="42"/>
      <c r="L23" s="42"/>
      <c r="M23" s="42"/>
      <c r="N23" s="42"/>
      <c r="O23" s="38"/>
      <c r="P23" s="42"/>
      <c r="Q23" s="41"/>
      <c r="R23" s="42"/>
      <c r="S23" s="42"/>
      <c r="Z23" s="42"/>
      <c r="AI23" s="42"/>
      <c r="AJ23" s="42"/>
      <c r="AK23" s="42"/>
      <c r="AL23" s="42"/>
      <c r="AM23" s="42"/>
    </row>
    <row r="24" spans="1:39" ht="45">
      <c r="A24" s="38"/>
      <c r="B24" s="145" t="s">
        <v>55</v>
      </c>
      <c r="C24" s="72" t="s">
        <v>56</v>
      </c>
      <c r="D24" s="119"/>
      <c r="E24" s="160" t="s">
        <v>57</v>
      </c>
      <c r="G24" s="53"/>
      <c r="H24" s="54"/>
      <c r="I24" s="55"/>
      <c r="J24" s="41"/>
      <c r="K24" s="42"/>
      <c r="L24" s="42"/>
      <c r="M24" s="42"/>
      <c r="N24" s="42"/>
      <c r="O24" s="38"/>
      <c r="P24" s="42"/>
      <c r="Q24" s="41"/>
      <c r="R24" s="42"/>
      <c r="S24" s="42"/>
      <c r="T24" s="42"/>
      <c r="Z24" s="42"/>
      <c r="AI24" s="42"/>
      <c r="AJ24" s="42"/>
      <c r="AK24" s="42"/>
      <c r="AL24" s="42"/>
      <c r="AM24" s="42"/>
    </row>
    <row r="25" spans="1:39" ht="41.25" customHeight="1">
      <c r="B25" s="147">
        <f ca="1">YEAR(TODAY())</f>
        <v>2026</v>
      </c>
      <c r="C25" s="158">
        <v>64</v>
      </c>
      <c r="D25" s="119"/>
      <c r="E25" s="69">
        <v>18</v>
      </c>
      <c r="G25" s="42"/>
      <c r="H25" s="52"/>
      <c r="I25" s="42"/>
      <c r="J25" s="41"/>
      <c r="K25" s="42"/>
      <c r="L25" s="42"/>
      <c r="O25" s="38"/>
      <c r="Q25" s="56"/>
      <c r="R25" s="57"/>
      <c r="Z25" s="42"/>
      <c r="AI25" s="42"/>
      <c r="AJ25" s="42"/>
      <c r="AK25" s="42"/>
      <c r="AL25" s="42"/>
      <c r="AM25" s="42"/>
    </row>
    <row r="26" spans="1:39" ht="54" customHeight="1">
      <c r="B26" s="146"/>
      <c r="C26" s="146"/>
      <c r="D26" s="119"/>
      <c r="E26" s="119"/>
      <c r="F26" s="42"/>
      <c r="G26" s="42"/>
      <c r="H26" s="52"/>
      <c r="I26" s="58"/>
      <c r="J26" s="59"/>
      <c r="K26" s="42"/>
      <c r="L26" s="42"/>
      <c r="M26" s="124" t="s">
        <v>58</v>
      </c>
      <c r="N26" s="60">
        <v>0</v>
      </c>
      <c r="O26" s="61"/>
      <c r="P26" s="125" t="s">
        <v>59</v>
      </c>
      <c r="Q26" s="139">
        <v>0</v>
      </c>
      <c r="R26" s="62">
        <v>30</v>
      </c>
      <c r="AA26" s="42"/>
      <c r="AB26" s="42"/>
      <c r="AH26" s="42"/>
      <c r="AI26" s="42"/>
    </row>
    <row r="27" spans="1:39" ht="42" customHeight="1">
      <c r="B27" s="150" t="s">
        <v>60</v>
      </c>
      <c r="C27" s="151" t="s">
        <v>61</v>
      </c>
      <c r="D27" s="134" t="s">
        <v>62</v>
      </c>
      <c r="E27" s="157" t="s">
        <v>63</v>
      </c>
      <c r="J27" s="59"/>
      <c r="K27" s="42"/>
      <c r="L27" s="42"/>
      <c r="M27" s="42"/>
      <c r="N27" s="67"/>
      <c r="O27" s="61"/>
      <c r="P27" s="61"/>
      <c r="Q27" s="41"/>
      <c r="R27" s="81"/>
      <c r="U27" s="42"/>
      <c r="V27" s="42"/>
      <c r="W27" s="42"/>
      <c r="AA27" s="42"/>
      <c r="AB27" s="42"/>
      <c r="AH27" s="42"/>
      <c r="AI27" s="42"/>
    </row>
    <row r="28" spans="1:39" ht="48.75" customHeight="1">
      <c r="A28" s="56"/>
      <c r="B28" s="152" t="s">
        <v>53</v>
      </c>
      <c r="C28" s="154">
        <v>18</v>
      </c>
      <c r="D28" s="155">
        <v>64</v>
      </c>
      <c r="E28" s="68" t="str">
        <f>IF(OR($C$25&gt;D28,$C$25&lt;$C28),"KO","OK")</f>
        <v>OK</v>
      </c>
      <c r="J28" s="59"/>
      <c r="K28" s="71"/>
      <c r="L28" s="42"/>
      <c r="M28" s="77" t="s">
        <v>64</v>
      </c>
      <c r="N28" s="78">
        <v>15.24</v>
      </c>
      <c r="O28" s="61"/>
      <c r="P28" s="61"/>
      <c r="Q28" s="41"/>
      <c r="R28" s="81"/>
      <c r="V28" s="167" t="s">
        <v>28</v>
      </c>
      <c r="W28" s="112" t="s">
        <v>12</v>
      </c>
      <c r="X28" s="42"/>
      <c r="AA28" s="74"/>
      <c r="AB28" s="74"/>
      <c r="AH28" s="42"/>
      <c r="AI28" s="42"/>
    </row>
    <row r="29" spans="1:39" ht="67.5">
      <c r="A29" s="56"/>
      <c r="B29" s="152" t="s">
        <v>52</v>
      </c>
      <c r="C29" s="154">
        <v>18</v>
      </c>
      <c r="D29" s="155">
        <v>64</v>
      </c>
      <c r="E29" s="68" t="str">
        <f>IF(OR($C$25&gt;D29,$C$25&lt;$C29),"KO","OK")</f>
        <v>OK</v>
      </c>
      <c r="F29" s="42"/>
      <c r="G29" s="148" t="s">
        <v>65</v>
      </c>
      <c r="H29" s="52"/>
      <c r="I29" s="66"/>
      <c r="J29" s="59"/>
      <c r="K29" s="71"/>
      <c r="L29" s="42"/>
      <c r="M29" s="127"/>
      <c r="N29" s="132"/>
      <c r="O29" s="61"/>
      <c r="P29" s="61"/>
      <c r="Q29" s="41"/>
      <c r="R29" s="81"/>
      <c r="U29" s="143" t="s">
        <v>66</v>
      </c>
      <c r="V29" s="73">
        <v>0</v>
      </c>
      <c r="W29" s="73">
        <v>7</v>
      </c>
      <c r="X29" s="42"/>
      <c r="Z29" s="128"/>
      <c r="AA29" s="74"/>
      <c r="AB29" s="74"/>
      <c r="AH29" s="42"/>
      <c r="AI29" s="42"/>
    </row>
    <row r="30" spans="1:39" ht="48.75" customHeight="1">
      <c r="A30" s="56"/>
      <c r="B30" s="153" t="s">
        <v>50</v>
      </c>
      <c r="C30" s="156">
        <v>18</v>
      </c>
      <c r="D30" s="156">
        <v>79</v>
      </c>
      <c r="E30" s="68" t="str">
        <f>IF(OR($C$25&gt;D30,$C$25&lt;$C30),"KO","OK")</f>
        <v>OK</v>
      </c>
      <c r="F30" s="42"/>
      <c r="G30" s="149" t="s">
        <v>67</v>
      </c>
      <c r="H30" s="52"/>
      <c r="I30" s="66"/>
      <c r="J30" s="59"/>
      <c r="K30" s="71"/>
      <c r="L30" s="42"/>
      <c r="M30" s="127"/>
      <c r="N30" s="132"/>
      <c r="O30" s="61"/>
      <c r="P30" s="61"/>
      <c r="Q30" s="41"/>
      <c r="R30" s="81"/>
      <c r="U30" s="58"/>
      <c r="V30" s="126"/>
      <c r="W30" s="126"/>
      <c r="X30" s="42"/>
      <c r="Y30" s="127"/>
      <c r="Z30" s="128"/>
      <c r="AA30" s="74"/>
      <c r="AB30" s="74"/>
      <c r="AH30" s="42"/>
      <c r="AI30" s="42"/>
    </row>
    <row r="31" spans="1:39" ht="48.75" customHeight="1">
      <c r="A31" s="56"/>
      <c r="B31" s="153" t="s">
        <v>68</v>
      </c>
      <c r="C31" s="156">
        <v>18</v>
      </c>
      <c r="D31" s="156">
        <v>50</v>
      </c>
      <c r="E31" s="68" t="str">
        <f>IF(OR($C$25&gt;D31,$C$25&lt;$C31),"KO","OK")</f>
        <v>KO</v>
      </c>
      <c r="F31" s="42"/>
      <c r="G31" s="42"/>
      <c r="H31" s="52"/>
      <c r="I31" s="66"/>
      <c r="J31" s="59"/>
      <c r="K31" s="71"/>
      <c r="L31" s="42"/>
      <c r="M31" s="127"/>
      <c r="N31" s="132"/>
      <c r="O31" s="61"/>
      <c r="P31" s="61"/>
      <c r="Q31" s="41"/>
      <c r="R31" s="81"/>
      <c r="U31" s="93" t="s">
        <v>69</v>
      </c>
      <c r="V31" s="85">
        <v>48</v>
      </c>
      <c r="W31" s="126"/>
      <c r="X31" s="42"/>
      <c r="Y31" s="127"/>
      <c r="Z31" s="128"/>
      <c r="AA31" s="74"/>
      <c r="AB31" s="74"/>
      <c r="AH31" s="42"/>
      <c r="AI31" s="42"/>
    </row>
    <row r="32" spans="1:39" ht="38.15" customHeight="1">
      <c r="A32" s="75"/>
      <c r="B32" s="70"/>
      <c r="C32" s="70"/>
      <c r="D32" s="42"/>
      <c r="E32" s="42"/>
      <c r="F32" s="42"/>
      <c r="G32" s="42"/>
      <c r="H32" s="52"/>
      <c r="I32" s="66"/>
      <c r="J32" s="59"/>
      <c r="K32" s="76"/>
      <c r="L32" s="42"/>
      <c r="O32" s="61"/>
      <c r="P32" s="61"/>
      <c r="Q32" s="41"/>
      <c r="R32" s="81"/>
      <c r="U32" s="58"/>
      <c r="V32" s="126"/>
      <c r="W32" s="126"/>
      <c r="X32" s="42"/>
      <c r="Y32" s="127"/>
      <c r="AA32" s="74"/>
      <c r="AB32" s="74"/>
      <c r="AH32" s="42"/>
      <c r="AI32" s="42"/>
    </row>
    <row r="33" spans="1:40" ht="38.15" customHeight="1">
      <c r="B33" s="33"/>
      <c r="C33" s="33"/>
      <c r="F33" s="79"/>
      <c r="G33" s="80"/>
      <c r="H33" s="52"/>
      <c r="I33" s="42"/>
      <c r="J33" s="59"/>
      <c r="K33" s="76"/>
      <c r="L33" s="42"/>
      <c r="M33" s="42"/>
      <c r="N33" s="67"/>
      <c r="O33" s="61"/>
      <c r="P33" s="61"/>
      <c r="Q33" s="41"/>
      <c r="R33" s="81"/>
      <c r="S33" s="82"/>
      <c r="T33" s="83"/>
      <c r="W33" s="42"/>
      <c r="X33" s="42"/>
      <c r="AA33" s="74"/>
      <c r="AB33" s="74"/>
      <c r="AH33" s="42"/>
      <c r="AI33" s="42"/>
    </row>
    <row r="34" spans="1:40" ht="38.15" customHeight="1">
      <c r="B34" s="33"/>
      <c r="C34" s="33"/>
      <c r="F34" s="80"/>
      <c r="G34" s="84"/>
      <c r="H34" s="52"/>
      <c r="J34" s="59"/>
      <c r="K34" s="76"/>
      <c r="L34" s="42"/>
      <c r="M34" s="42"/>
      <c r="N34" s="67"/>
      <c r="O34" s="61"/>
      <c r="P34" s="61"/>
      <c r="Q34" s="41"/>
      <c r="R34" s="81"/>
      <c r="S34" s="82"/>
      <c r="T34" s="83"/>
      <c r="U34" s="74"/>
      <c r="V34" s="42"/>
      <c r="W34" s="42"/>
      <c r="X34" s="42"/>
      <c r="AA34" s="42"/>
      <c r="AB34" s="42"/>
      <c r="AH34" s="42"/>
      <c r="AI34" s="42"/>
    </row>
    <row r="35" spans="1:40" ht="38.15" customHeight="1">
      <c r="B35" s="33"/>
      <c r="C35" s="33"/>
      <c r="F35" s="86"/>
      <c r="G35" s="84"/>
      <c r="J35" s="41"/>
      <c r="K35" s="76"/>
      <c r="L35" s="42"/>
      <c r="M35" s="42"/>
      <c r="N35" s="42"/>
      <c r="O35" s="38"/>
      <c r="P35" s="87"/>
      <c r="Q35" s="41"/>
      <c r="R35" s="81"/>
      <c r="W35" s="42"/>
      <c r="X35" s="42"/>
      <c r="AA35" s="42"/>
      <c r="AB35" s="42"/>
      <c r="AH35" s="42"/>
      <c r="AI35" s="42"/>
    </row>
    <row r="36" spans="1:40" ht="38.15" customHeight="1">
      <c r="A36" s="38"/>
      <c r="B36" s="39"/>
      <c r="G36" s="89"/>
      <c r="H36" s="52"/>
      <c r="I36" s="55"/>
      <c r="J36" s="41"/>
      <c r="K36" s="76"/>
      <c r="L36" s="42"/>
      <c r="M36" s="42"/>
      <c r="N36" s="38"/>
      <c r="O36" s="38"/>
      <c r="P36" s="55"/>
      <c r="Q36" s="41"/>
      <c r="R36" s="42"/>
      <c r="S36" s="67"/>
      <c r="T36" s="87"/>
      <c r="U36" s="74"/>
      <c r="V36" s="42"/>
      <c r="W36" s="42"/>
      <c r="X36" s="42"/>
      <c r="Z36" s="90"/>
      <c r="AA36" s="42"/>
      <c r="AB36" s="88"/>
      <c r="AF36" s="33" t="s">
        <v>70</v>
      </c>
      <c r="AH36" s="42"/>
      <c r="AI36" s="42"/>
    </row>
    <row r="37" spans="1:40" ht="69.75" customHeight="1">
      <c r="A37" s="289" t="s">
        <v>71</v>
      </c>
      <c r="B37" s="295" t="s">
        <v>72</v>
      </c>
      <c r="C37" s="296"/>
      <c r="D37" s="296"/>
      <c r="E37" s="296"/>
      <c r="F37" s="296"/>
      <c r="G37" s="299" t="s">
        <v>73</v>
      </c>
      <c r="H37" s="291" t="s">
        <v>74</v>
      </c>
      <c r="I37" s="293" t="s">
        <v>75</v>
      </c>
      <c r="J37" s="300" t="s">
        <v>76</v>
      </c>
      <c r="K37" s="300" t="s">
        <v>77</v>
      </c>
      <c r="L37" s="301" t="s">
        <v>78</v>
      </c>
      <c r="M37" s="340" t="s">
        <v>79</v>
      </c>
      <c r="N37" s="341"/>
      <c r="O37" s="291" t="s">
        <v>80</v>
      </c>
      <c r="P37" s="342" t="s">
        <v>81</v>
      </c>
      <c r="Q37" s="291" t="s">
        <v>82</v>
      </c>
      <c r="R37" s="325" t="s">
        <v>83</v>
      </c>
      <c r="S37" s="325" t="s">
        <v>84</v>
      </c>
      <c r="T37" s="323" t="s">
        <v>85</v>
      </c>
      <c r="U37" s="318" t="s">
        <v>86</v>
      </c>
      <c r="V37" s="319"/>
      <c r="W37" s="319"/>
      <c r="X37" s="320"/>
      <c r="Y37" s="318" t="s">
        <v>87</v>
      </c>
      <c r="Z37" s="319"/>
      <c r="AA37" s="319"/>
      <c r="AB37" s="320"/>
      <c r="AC37" s="276" t="s">
        <v>88</v>
      </c>
      <c r="AD37" s="277"/>
      <c r="AE37" s="278"/>
      <c r="AF37" s="282" t="s">
        <v>89</v>
      </c>
      <c r="AG37" s="283"/>
      <c r="AH37" s="283"/>
      <c r="AI37" s="284"/>
      <c r="AJ37" s="279" t="s">
        <v>90</v>
      </c>
      <c r="AK37" s="272" t="s">
        <v>91</v>
      </c>
      <c r="AL37" s="273"/>
      <c r="AM37" s="273"/>
      <c r="AN37" s="274"/>
    </row>
    <row r="38" spans="1:40" ht="58.5">
      <c r="A38" s="290"/>
      <c r="B38" s="297"/>
      <c r="C38" s="298"/>
      <c r="D38" s="298"/>
      <c r="E38" s="298"/>
      <c r="F38" s="298"/>
      <c r="G38" s="299"/>
      <c r="H38" s="292"/>
      <c r="I38" s="294"/>
      <c r="J38" s="300"/>
      <c r="K38" s="300"/>
      <c r="L38" s="301"/>
      <c r="M38" s="91" t="s">
        <v>92</v>
      </c>
      <c r="N38" s="92" t="s">
        <v>93</v>
      </c>
      <c r="O38" s="292"/>
      <c r="P38" s="343"/>
      <c r="Q38" s="292"/>
      <c r="R38" s="326"/>
      <c r="S38" s="327"/>
      <c r="T38" s="324"/>
      <c r="U38" s="93" t="s">
        <v>94</v>
      </c>
      <c r="V38" s="130" t="s">
        <v>95</v>
      </c>
      <c r="W38" s="93" t="s">
        <v>96</v>
      </c>
      <c r="X38" s="93" t="s">
        <v>97</v>
      </c>
      <c r="Y38" s="93" t="s">
        <v>94</v>
      </c>
      <c r="Z38" s="130" t="s">
        <v>95</v>
      </c>
      <c r="AA38" s="93" t="s">
        <v>98</v>
      </c>
      <c r="AB38" s="141" t="s">
        <v>99</v>
      </c>
      <c r="AC38" s="171">
        <f>$AD$45</f>
        <v>0</v>
      </c>
      <c r="AD38" s="171">
        <f>$AE$45</f>
        <v>12</v>
      </c>
      <c r="AE38" s="171" t="s">
        <v>100</v>
      </c>
      <c r="AF38" s="282" t="s">
        <v>101</v>
      </c>
      <c r="AG38" s="283"/>
      <c r="AH38" s="283"/>
      <c r="AI38" s="284"/>
      <c r="AJ38" s="280"/>
      <c r="AK38" s="269">
        <v>13</v>
      </c>
      <c r="AL38" s="270"/>
      <c r="AM38" s="270"/>
      <c r="AN38" s="271"/>
    </row>
    <row r="39" spans="1:40" ht="38.15" customHeight="1">
      <c r="A39" s="94">
        <v>1</v>
      </c>
      <c r="B39" s="95">
        <f>$B$15</f>
        <v>60</v>
      </c>
      <c r="C39" s="96">
        <f t="shared" ref="C39:F39" si="3">P15</f>
        <v>10</v>
      </c>
      <c r="D39" s="96">
        <f t="shared" si="3"/>
        <v>24</v>
      </c>
      <c r="E39" s="96">
        <f t="shared" si="3"/>
        <v>48</v>
      </c>
      <c r="F39" s="97">
        <f t="shared" si="3"/>
        <v>96</v>
      </c>
      <c r="G39" s="299"/>
      <c r="H39" s="98">
        <v>2</v>
      </c>
      <c r="I39" s="99">
        <v>3</v>
      </c>
      <c r="J39" s="300"/>
      <c r="K39" s="300"/>
      <c r="L39" s="301"/>
      <c r="M39" s="100">
        <v>4</v>
      </c>
      <c r="N39" s="98">
        <v>5</v>
      </c>
      <c r="O39" s="98">
        <v>6</v>
      </c>
      <c r="P39" s="101">
        <v>7</v>
      </c>
      <c r="Q39" s="98">
        <v>8</v>
      </c>
      <c r="R39" s="322">
        <v>9</v>
      </c>
      <c r="S39" s="322"/>
      <c r="T39" s="102">
        <v>10</v>
      </c>
      <c r="U39" s="144">
        <v>11</v>
      </c>
      <c r="V39" s="144"/>
      <c r="W39" s="144"/>
      <c r="X39" s="197"/>
      <c r="Y39" s="195">
        <v>12</v>
      </c>
      <c r="Z39" s="144"/>
      <c r="AA39" s="144"/>
      <c r="AB39" s="196"/>
      <c r="AC39" s="144"/>
      <c r="AD39" s="144"/>
      <c r="AE39" s="144"/>
      <c r="AF39" s="122" t="s">
        <v>50</v>
      </c>
      <c r="AG39" s="103" t="s">
        <v>51</v>
      </c>
      <c r="AH39" s="122" t="s">
        <v>53</v>
      </c>
      <c r="AI39" s="122" t="s">
        <v>52</v>
      </c>
      <c r="AJ39" s="281"/>
      <c r="AK39" s="136" t="s">
        <v>50</v>
      </c>
      <c r="AL39" s="138" t="s">
        <v>51</v>
      </c>
      <c r="AM39" s="137" t="s">
        <v>53</v>
      </c>
      <c r="AN39" s="135" t="s">
        <v>52</v>
      </c>
    </row>
    <row r="40" spans="1:40" ht="38.15" customHeight="1">
      <c r="A40" s="203">
        <f>Simulateur!D8</f>
        <v>2890</v>
      </c>
      <c r="B40" s="104">
        <f>IF(OR($J$40="",R40=""),"",LOOKUP($J$40,$M$16:$M$23,$O$16:$O$23))</f>
        <v>0.14099999999999999</v>
      </c>
      <c r="C40" s="104">
        <f>IF($J$40="","",LOOKUP($J$40,$M$16:$M$23,$P$16:$P$23))</f>
        <v>0.14099999999999999</v>
      </c>
      <c r="D40" s="104">
        <f>IF($J$40="","",LOOKUP($J$40,$M$16:$M$23,$Q$16:$Q$23))</f>
        <v>0.14099999999999999</v>
      </c>
      <c r="E40" s="104">
        <f>IF($J$40="","",LOOKUP($J$40,$M$16:$M$23,$R$16:$R$23))</f>
        <v>0.14099999999999999</v>
      </c>
      <c r="F40" s="104">
        <f>IF($J$40="","",LOOKUP($J$40,$M$16:$M$23,$S$16:$S$23))</f>
        <v>0.14099999999999999</v>
      </c>
      <c r="G40" s="105">
        <f>IF(OR($A$40="",R40=""),"",LOOKUP($R$40,$B$39:$F$39,$B$40:$F$40))</f>
        <v>0.14099999999999999</v>
      </c>
      <c r="H40" s="106">
        <f>IF($G$40="","",(((1+$G$40/12))^12)-1)</f>
        <v>0.15047863172352183</v>
      </c>
      <c r="I40" s="107">
        <f>$J$40</f>
        <v>2890</v>
      </c>
      <c r="J40" s="108">
        <f>IF(OR($C$25&lt;$E$25,A40=0),"",$A$40)</f>
        <v>2890</v>
      </c>
      <c r="K40" s="108">
        <f>IF(G40="","",IF($J$40="","",$J$40*$L$40))</f>
        <v>2890</v>
      </c>
      <c r="L40" s="109">
        <f>IF(G40="","",IF($J$40="","",(1+($G$40/12))^$Q$26))</f>
        <v>1</v>
      </c>
      <c r="M40" s="110">
        <v>30</v>
      </c>
      <c r="N40" s="110">
        <f>IF($R$40="","",$R$40+$Q$26)</f>
        <v>60</v>
      </c>
      <c r="O40" s="106">
        <f>$G$40</f>
        <v>0.14099999999999999</v>
      </c>
      <c r="P40" s="111">
        <f>$N$26</f>
        <v>0</v>
      </c>
      <c r="Q40" s="110">
        <f>(LOOKUP($Q$26,$Q$26,$R$26))</f>
        <v>30</v>
      </c>
      <c r="R40" s="161">
        <f>Simulateur!D15</f>
        <v>60</v>
      </c>
      <c r="S40" s="113">
        <f>IF(A40=0,"",IF(R40="","",IF(PMT($G$40/12,$R$40,-$K$40)&lt;$N$28,"",ROUND(PMT($G$40/12,$R$40,-$K$40),2))))</f>
        <v>67.400000000000006</v>
      </c>
      <c r="T40" s="206">
        <f>IF(S40="","",IF(OR($K$40=0,$R$40="",$I$40=""),"",$I$40+$AJ$40))</f>
        <v>4044</v>
      </c>
      <c r="U40" s="113">
        <f>IF(AF40="","",IF(OR($J$40=0,$S$40="",$Y$40=""),"",($AF$40-$S$40)*$R$40))</f>
        <v>345.59999999999945</v>
      </c>
      <c r="V40" s="129" t="str">
        <f>IF(OR($J$40=0,$S$40="",$AG$40=""),"",($AG$40-$S$40)*$R$40)</f>
        <v/>
      </c>
      <c r="W40" s="113">
        <f>IF(OR($J$40=0,$S$40="",$AA$40=""),"",($AH$40-$S$40)*$R$40)</f>
        <v>353.99999999999949</v>
      </c>
      <c r="X40" s="113">
        <f>IF(OR($J$40=0,$S$40="",AB40=""),"",($AI$40-$S$40)*$R$40)</f>
        <v>304.19999999999959</v>
      </c>
      <c r="Y40" s="114">
        <f>IF(AF40="","",IF(OR($P$40="",$E$30=$G$30),"",$AF$40-$S$40))</f>
        <v>5.7599999999999909</v>
      </c>
      <c r="Z40" s="131" t="str">
        <f>IF(OR($Q$40="",$V$40="",$E$31=$G$30),"",$AG$40-$S$40)</f>
        <v/>
      </c>
      <c r="AA40" s="113">
        <f>IF(OR($J$40=0,$AH$40="",$E$28=$G$30),"",$AH$40-$S$40)</f>
        <v>5.8999999999999915</v>
      </c>
      <c r="AB40" s="142">
        <f>IF(OR($S$40="",$E$29=$G$30),"",$AI$40-$S$40)</f>
        <v>5.0699999999999932</v>
      </c>
      <c r="AC40" s="172">
        <f>IF(AD45="","",IF(OR($J$40="",$R$40=""),"",$I$40-(LOOKUP($R$40,$AC$46:$AC$242,$AD$46:$AD$242)%*$I$40)))</f>
        <v>2889.9999999999886</v>
      </c>
      <c r="AD40" s="172">
        <f>IF(AE45="","",IF(OR($J$40="",$R$40=""),"",$I$40-(LOOKUP($R$40,$AC$46:$AC$242,$AE$46:$AE$242)%*$I$40)))</f>
        <v>2889.9999999999886</v>
      </c>
      <c r="AE40" s="172">
        <f>IF(OR(AC40="",AD40=""),"",(IF(OR($J$40="",$R$40=""),"",LOOKUP($J$40,$AC$38:$AD$38,$AC$40:$AD$40))))</f>
        <v>2889.9999999999886</v>
      </c>
      <c r="AF40" s="121">
        <f>IF(OR($S$40="",$E$30=$G$30),"",IF($R$40&lt;$U$15,$S$40,(ROUND($S$40*(1+LOOKUP($R$40,$U$15:$U$22,$V$15:$V$22)),2))))</f>
        <v>73.16</v>
      </c>
      <c r="AG40" s="115" t="str">
        <f>IF(OR($S$40="",$R$40&gt;$V$31,$E$31=$G$30),"",IF($R$40&lt;$U$15,$S$40,(ROUND($S$40*(1+LOOKUP($R$40,$U$16:$U$20,$W$16:$W$20)),2))))</f>
        <v/>
      </c>
      <c r="AH40" s="121">
        <f>IF(OR($R$40&lt;$W$29,$J$40&lt;$V$29,$S$40="",$E$28=$G$30),"",IF(R40&lt;$U$15,$S$40,ROUND($S$40*(1+LOOKUP($R$40,$U$15:$U$22,$Y$15:$Y$22)),2)))</f>
        <v>73.3</v>
      </c>
      <c r="AI40" s="121">
        <f>IF(OR($S$40="",$E$29=$G$30),"",IF($R$40&lt;$U$15,$S$40,(ROUND($S$40*(1+LOOKUP($R$40,$U$15:$U$22,$X$15:$X$22)),2))))</f>
        <v>72.47</v>
      </c>
      <c r="AJ40" s="121">
        <f>IF($S$40="","",IF($H$40=0,0,ROUND($S$40*$R$40-$J$40,2)))</f>
        <v>1154</v>
      </c>
      <c r="AK40" s="116">
        <f>IF(OR($O$40="",$Y$40=""),"",TAEA!$C$5)</f>
        <v>4.3401750000000003E-2</v>
      </c>
      <c r="AL40" s="117" t="str">
        <f>IF(OR($P$40="",$R$40&gt;$V$31,$Z$40=""),"",TAEA!$D$5)</f>
        <v/>
      </c>
      <c r="AM40" s="116">
        <f>IF(OR($R$40="",$R$40&lt;$W$29,$J$40&lt;$V$29,$AA$40=""),"",TAEA!$F$5)</f>
        <v>4.4451060000000001E-2</v>
      </c>
      <c r="AN40" s="116">
        <f>IF(OR($R$40="",$AB$40=""),"",TAEA!$E$5)</f>
        <v>3.8227190000000001E-2</v>
      </c>
    </row>
    <row r="41" spans="1:40" ht="36" customHeight="1">
      <c r="T41" s="118"/>
      <c r="AJ41" s="232">
        <f>(((ROUND(PMT(G40/12,R40,-K40),2))*R40)-(K40))</f>
        <v>1154.0000000000005</v>
      </c>
    </row>
    <row r="42" spans="1:40" ht="36" customHeight="1">
      <c r="L42" s="309" t="s">
        <v>102</v>
      </c>
      <c r="M42" s="311" t="s">
        <v>103</v>
      </c>
      <c r="N42" s="311" t="s">
        <v>104</v>
      </c>
      <c r="O42" s="313" t="s">
        <v>35</v>
      </c>
      <c r="P42" s="316" t="s">
        <v>105</v>
      </c>
      <c r="Q42" s="314" t="s">
        <v>106</v>
      </c>
      <c r="R42" s="184"/>
      <c r="T42" s="207"/>
      <c r="AC42" s="275" t="s">
        <v>107</v>
      </c>
      <c r="AD42" s="275"/>
      <c r="AE42" s="275"/>
    </row>
    <row r="43" spans="1:40" ht="36" customHeight="1">
      <c r="L43" s="310"/>
      <c r="M43" s="312"/>
      <c r="N43" s="312"/>
      <c r="O43" s="311"/>
      <c r="P43" s="317"/>
      <c r="Q43" s="315"/>
      <c r="R43" s="185"/>
      <c r="AC43" s="306" t="s">
        <v>108</v>
      </c>
      <c r="AD43" s="304" t="s">
        <v>109</v>
      </c>
      <c r="AE43" s="305"/>
    </row>
    <row r="44" spans="1:40" ht="36" customHeight="1">
      <c r="L44" s="175">
        <f>'Calcul '!J40</f>
        <v>2890</v>
      </c>
      <c r="M44" s="176">
        <v>4</v>
      </c>
      <c r="N44" s="176">
        <f t="shared" ref="N44:N48" si="4">M45-1</f>
        <v>6</v>
      </c>
      <c r="O44" s="192">
        <f t="shared" ref="O44:O74" si="5">$G$7</f>
        <v>0.14099999999999999</v>
      </c>
      <c r="P44" s="192">
        <f t="shared" ref="P44:P74" si="6">$G$5</f>
        <v>0.14099999999999999</v>
      </c>
      <c r="Q44" s="183">
        <f>(100+PV(P44/12,N44,(-PMT(O44/12,N44,100))))</f>
        <v>4.2632564145606011E-13</v>
      </c>
      <c r="R44" s="184"/>
      <c r="AC44" s="307"/>
      <c r="AD44" s="302" t="s">
        <v>110</v>
      </c>
      <c r="AE44" s="303"/>
    </row>
    <row r="45" spans="1:40" ht="36" customHeight="1">
      <c r="L45" s="177"/>
      <c r="M45" s="176">
        <v>7</v>
      </c>
      <c r="N45" s="176">
        <f t="shared" si="4"/>
        <v>8</v>
      </c>
      <c r="O45" s="192">
        <f t="shared" si="5"/>
        <v>0.14099999999999999</v>
      </c>
      <c r="P45" s="192">
        <f t="shared" si="6"/>
        <v>0.14099999999999999</v>
      </c>
      <c r="Q45" s="183">
        <f t="shared" ref="Q45:Q74" si="7">(100+PV(P45/12,N45,(-PMT(O45/12,N45,100))))</f>
        <v>4.8316906031686813E-13</v>
      </c>
      <c r="R45" s="184"/>
      <c r="AC45" s="308"/>
      <c r="AD45" s="173">
        <v>0</v>
      </c>
      <c r="AE45" s="173">
        <v>12</v>
      </c>
    </row>
    <row r="46" spans="1:40" ht="36" customHeight="1">
      <c r="L46" s="177"/>
      <c r="M46" s="176">
        <v>9</v>
      </c>
      <c r="N46" s="176">
        <f t="shared" si="4"/>
        <v>10</v>
      </c>
      <c r="O46" s="192">
        <f t="shared" si="5"/>
        <v>0.14099999999999999</v>
      </c>
      <c r="P46" s="192">
        <f t="shared" si="6"/>
        <v>0.14099999999999999</v>
      </c>
      <c r="Q46" s="183">
        <f t="shared" si="7"/>
        <v>4.6895820560166612E-13</v>
      </c>
      <c r="R46" s="184"/>
      <c r="AC46" s="173">
        <v>4</v>
      </c>
      <c r="AD46" s="174" cm="1">
        <f t="array" ref="AD46">SUMPRODUCT(($M$44:$M$74&lt;=AC46)*($N$44:$N$74&gt;=AC46)*($Q$44:$Q$74))</f>
        <v>4.2632564145606011E-13</v>
      </c>
      <c r="AE46" s="174">
        <f t="shared" ref="AE46:AE52" si="8">AD46</f>
        <v>4.2632564145606011E-13</v>
      </c>
    </row>
    <row r="47" spans="1:40" ht="36" customHeight="1">
      <c r="L47" s="177"/>
      <c r="M47" s="176">
        <v>11</v>
      </c>
      <c r="N47" s="176">
        <f t="shared" si="4"/>
        <v>12</v>
      </c>
      <c r="O47" s="192">
        <f t="shared" si="5"/>
        <v>0.14099999999999999</v>
      </c>
      <c r="P47" s="192">
        <f t="shared" si="6"/>
        <v>0.14099999999999999</v>
      </c>
      <c r="Q47" s="183">
        <f t="shared" si="7"/>
        <v>5.1159076974727213E-13</v>
      </c>
      <c r="R47" s="184"/>
      <c r="AC47" s="173">
        <v>5</v>
      </c>
      <c r="AD47" s="174" cm="1">
        <f t="array" ref="AD47">SUMPRODUCT(($M$44:$M$74&lt;=AC47)*($N$44:$N$74&gt;=AC47)*($Q$44:$Q$74))</f>
        <v>4.2632564145606011E-13</v>
      </c>
      <c r="AE47" s="174">
        <f t="shared" si="8"/>
        <v>4.2632564145606011E-13</v>
      </c>
    </row>
    <row r="48" spans="1:40" ht="36" customHeight="1">
      <c r="L48" s="178"/>
      <c r="M48" s="176">
        <v>13</v>
      </c>
      <c r="N48" s="176">
        <f t="shared" si="4"/>
        <v>15</v>
      </c>
      <c r="O48" s="192">
        <f t="shared" si="5"/>
        <v>0.14099999999999999</v>
      </c>
      <c r="P48" s="192">
        <f t="shared" si="6"/>
        <v>0.14099999999999999</v>
      </c>
      <c r="Q48" s="183">
        <f t="shared" si="7"/>
        <v>5.4001247917767614E-13</v>
      </c>
      <c r="R48" s="184"/>
      <c r="AC48" s="173">
        <v>6</v>
      </c>
      <c r="AD48" s="174" cm="1">
        <f t="array" ref="AD48">SUMPRODUCT(($M$44:$M$74&lt;=AC48)*($N$44:$N$74&gt;=AC48)*($Q$44:$Q$74))</f>
        <v>4.2632564145606011E-13</v>
      </c>
      <c r="AE48" s="174">
        <f t="shared" si="8"/>
        <v>4.2632564145606011E-13</v>
      </c>
    </row>
    <row r="49" spans="12:31" ht="36" customHeight="1">
      <c r="L49" s="178"/>
      <c r="M49" s="176">
        <v>16</v>
      </c>
      <c r="N49" s="176">
        <f t="shared" ref="N49:N73" si="9">M50-1</f>
        <v>18</v>
      </c>
      <c r="O49" s="192">
        <f t="shared" si="5"/>
        <v>0.14099999999999999</v>
      </c>
      <c r="P49" s="192">
        <f t="shared" si="6"/>
        <v>0.14099999999999999</v>
      </c>
      <c r="Q49" s="183">
        <f t="shared" si="7"/>
        <v>5.1159076974727213E-13</v>
      </c>
      <c r="R49" s="184"/>
      <c r="AC49" s="173">
        <v>7</v>
      </c>
      <c r="AD49" s="174" cm="1">
        <f t="array" ref="AD49">SUMPRODUCT(($M$44:$M$74&lt;=AC49)*($N$44:$N$74&gt;=AC49)*($Q$44:$Q$74))</f>
        <v>4.8316906031686813E-13</v>
      </c>
      <c r="AE49" s="174">
        <f t="shared" si="8"/>
        <v>4.8316906031686813E-13</v>
      </c>
    </row>
    <row r="50" spans="12:31" ht="36" customHeight="1">
      <c r="L50" s="178"/>
      <c r="M50" s="176">
        <v>19</v>
      </c>
      <c r="N50" s="176">
        <f t="shared" si="9"/>
        <v>24</v>
      </c>
      <c r="O50" s="192">
        <f t="shared" si="5"/>
        <v>0.14099999999999999</v>
      </c>
      <c r="P50" s="192">
        <f t="shared" si="6"/>
        <v>0.14099999999999999</v>
      </c>
      <c r="Q50" s="183">
        <f t="shared" si="7"/>
        <v>4.9737991503207013E-13</v>
      </c>
      <c r="R50" s="184"/>
      <c r="AC50" s="173">
        <v>8</v>
      </c>
      <c r="AD50" s="174" cm="1">
        <f t="array" ref="AD50">SUMPRODUCT(($M$44:$M$74&lt;=AC50)*($N$44:$N$74&gt;=AC50)*($Q$44:$Q$74))</f>
        <v>4.8316906031686813E-13</v>
      </c>
      <c r="AE50" s="174">
        <f t="shared" si="8"/>
        <v>4.8316906031686813E-13</v>
      </c>
    </row>
    <row r="51" spans="12:31" ht="36" customHeight="1">
      <c r="L51" s="178"/>
      <c r="M51" s="176">
        <v>25</v>
      </c>
      <c r="N51" s="176">
        <f t="shared" si="9"/>
        <v>27</v>
      </c>
      <c r="O51" s="192">
        <f t="shared" si="5"/>
        <v>0.14099999999999999</v>
      </c>
      <c r="P51" s="192">
        <f t="shared" si="6"/>
        <v>0.14099999999999999</v>
      </c>
      <c r="Q51" s="183">
        <f t="shared" si="7"/>
        <v>4.4053649617126212E-13</v>
      </c>
      <c r="R51" s="184"/>
      <c r="AC51" s="173">
        <v>9</v>
      </c>
      <c r="AD51" s="174" cm="1">
        <f t="array" ref="AD51">SUMPRODUCT(($M$44:$M$74&lt;=AC51)*($N$44:$N$74&gt;=AC51)*($Q$44:$Q$74))</f>
        <v>4.6895820560166612E-13</v>
      </c>
      <c r="AE51" s="174">
        <f t="shared" si="8"/>
        <v>4.6895820560166612E-13</v>
      </c>
    </row>
    <row r="52" spans="12:31" ht="36" customHeight="1">
      <c r="L52" s="178"/>
      <c r="M52" s="176">
        <v>28</v>
      </c>
      <c r="N52" s="176">
        <f t="shared" si="9"/>
        <v>30</v>
      </c>
      <c r="O52" s="192">
        <f t="shared" si="5"/>
        <v>0.14099999999999999</v>
      </c>
      <c r="P52" s="192">
        <f t="shared" si="6"/>
        <v>0.14099999999999999</v>
      </c>
      <c r="Q52" s="183">
        <f t="shared" si="7"/>
        <v>4.1211478674085811E-13</v>
      </c>
      <c r="R52" s="184"/>
      <c r="AC52" s="173">
        <v>10</v>
      </c>
      <c r="AD52" s="174" cm="1">
        <f t="array" ref="AD52">SUMPRODUCT(($M$44:$M$74&lt;=AC52)*($N$44:$N$74&gt;=AC52)*($Q$44:$Q$74))</f>
        <v>4.6895820560166612E-13</v>
      </c>
      <c r="AE52" s="174">
        <f t="shared" si="8"/>
        <v>4.6895820560166612E-13</v>
      </c>
    </row>
    <row r="53" spans="12:31" ht="36" customHeight="1">
      <c r="L53" s="178"/>
      <c r="M53" s="179">
        <v>31</v>
      </c>
      <c r="N53" s="176">
        <f t="shared" si="9"/>
        <v>33</v>
      </c>
      <c r="O53" s="192">
        <f t="shared" si="5"/>
        <v>0.14099999999999999</v>
      </c>
      <c r="P53" s="192">
        <f t="shared" si="6"/>
        <v>0.14099999999999999</v>
      </c>
      <c r="Q53" s="183">
        <f t="shared" si="7"/>
        <v>4.6895820560166612E-13</v>
      </c>
      <c r="R53" s="184"/>
      <c r="AC53" s="173">
        <v>11</v>
      </c>
      <c r="AD53" s="174" cm="1">
        <f t="array" ref="AD53">SUMPRODUCT(($M$44:$M$74&lt;=AC53)*($N$44:$N$74&gt;=AC53)*($Q$44:$Q$74))</f>
        <v>5.1159076974727213E-13</v>
      </c>
      <c r="AE53" s="174">
        <f t="shared" ref="AE53:AE116" si="10">AD53</f>
        <v>5.1159076974727213E-13</v>
      </c>
    </row>
    <row r="54" spans="12:31" ht="36" customHeight="1">
      <c r="L54" s="178"/>
      <c r="M54" s="179">
        <v>34</v>
      </c>
      <c r="N54" s="176">
        <f t="shared" si="9"/>
        <v>36</v>
      </c>
      <c r="O54" s="192">
        <f t="shared" si="5"/>
        <v>0.14099999999999999</v>
      </c>
      <c r="P54" s="192">
        <f t="shared" si="6"/>
        <v>0.14099999999999999</v>
      </c>
      <c r="Q54" s="183">
        <f t="shared" si="7"/>
        <v>4.5474735088646412E-13</v>
      </c>
      <c r="R54" s="184"/>
      <c r="AC54" s="173">
        <v>12</v>
      </c>
      <c r="AD54" s="174" cm="1">
        <f t="array" ref="AD54">SUMPRODUCT(($M$44:$M$74&lt;=AC54)*($N$44:$N$74&gt;=AC54)*($Q$44:$Q$74))</f>
        <v>5.1159076974727213E-13</v>
      </c>
      <c r="AE54" s="174">
        <f t="shared" si="10"/>
        <v>5.1159076974727213E-13</v>
      </c>
    </row>
    <row r="55" spans="12:31" ht="36" customHeight="1">
      <c r="L55" s="178"/>
      <c r="M55" s="179">
        <v>37</v>
      </c>
      <c r="N55" s="176">
        <f t="shared" si="9"/>
        <v>40</v>
      </c>
      <c r="O55" s="192">
        <f t="shared" si="5"/>
        <v>0.14099999999999999</v>
      </c>
      <c r="P55" s="192">
        <f t="shared" si="6"/>
        <v>0.14099999999999999</v>
      </c>
      <c r="Q55" s="183">
        <f t="shared" si="7"/>
        <v>4.4053649617126212E-13</v>
      </c>
      <c r="R55" s="184"/>
      <c r="AC55" s="173">
        <v>13</v>
      </c>
      <c r="AD55" s="174" cm="1">
        <f t="array" ref="AD55">SUMPRODUCT(($M$44:$M$74&lt;=AC55)*($N$44:$N$74&gt;=AC55)*($Q$44:$Q$74))</f>
        <v>5.4001247917767614E-13</v>
      </c>
      <c r="AE55" s="174">
        <f t="shared" si="10"/>
        <v>5.4001247917767614E-13</v>
      </c>
    </row>
    <row r="56" spans="12:31" ht="36" customHeight="1">
      <c r="L56" s="178"/>
      <c r="M56" s="179">
        <v>41</v>
      </c>
      <c r="N56" s="176">
        <f t="shared" si="9"/>
        <v>42</v>
      </c>
      <c r="O56" s="192">
        <f t="shared" si="5"/>
        <v>0.14099999999999999</v>
      </c>
      <c r="P56" s="192">
        <f t="shared" si="6"/>
        <v>0.14099999999999999</v>
      </c>
      <c r="Q56" s="183">
        <f t="shared" si="7"/>
        <v>4.1211478674085811E-13</v>
      </c>
      <c r="R56" s="184"/>
      <c r="AC56" s="173">
        <v>14</v>
      </c>
      <c r="AD56" s="174" cm="1">
        <f t="array" ref="AD56">SUMPRODUCT(($M$44:$M$74&lt;=AC56)*($N$44:$N$74&gt;=AC56)*($Q$44:$Q$74))</f>
        <v>5.4001247917767614E-13</v>
      </c>
      <c r="AE56" s="174">
        <f t="shared" si="10"/>
        <v>5.4001247917767614E-13</v>
      </c>
    </row>
    <row r="57" spans="12:31" ht="36" customHeight="1">
      <c r="L57" s="178"/>
      <c r="M57" s="179">
        <v>43</v>
      </c>
      <c r="N57" s="176">
        <f t="shared" si="9"/>
        <v>45</v>
      </c>
      <c r="O57" s="192">
        <f t="shared" si="5"/>
        <v>0.14099999999999999</v>
      </c>
      <c r="P57" s="192">
        <f t="shared" si="6"/>
        <v>0.14099999999999999</v>
      </c>
      <c r="Q57" s="183">
        <f t="shared" si="7"/>
        <v>4.2632564145606011E-13</v>
      </c>
      <c r="R57" s="184"/>
      <c r="AC57" s="173">
        <v>15</v>
      </c>
      <c r="AD57" s="174" cm="1">
        <f t="array" ref="AD57">SUMPRODUCT(($M$44:$M$74&lt;=AC57)*($N$44:$N$74&gt;=AC57)*($Q$44:$Q$74))</f>
        <v>5.4001247917767614E-13</v>
      </c>
      <c r="AE57" s="174">
        <f t="shared" si="10"/>
        <v>5.4001247917767614E-13</v>
      </c>
    </row>
    <row r="58" spans="12:31" ht="36" customHeight="1">
      <c r="L58" s="178"/>
      <c r="M58" s="179">
        <v>46</v>
      </c>
      <c r="N58" s="176">
        <f t="shared" si="9"/>
        <v>48</v>
      </c>
      <c r="O58" s="192">
        <f t="shared" si="5"/>
        <v>0.14099999999999999</v>
      </c>
      <c r="P58" s="192">
        <f t="shared" si="6"/>
        <v>0.14099999999999999</v>
      </c>
      <c r="Q58" s="183">
        <f t="shared" si="7"/>
        <v>4.2632564145606011E-13</v>
      </c>
      <c r="R58" s="184"/>
      <c r="AC58" s="173">
        <v>16</v>
      </c>
      <c r="AD58" s="174" cm="1">
        <f t="array" ref="AD58">SUMPRODUCT(($M$44:$M$74&lt;=AC58)*($N$44:$N$74&gt;=AC58)*($Q$44:$Q$74))</f>
        <v>5.1159076974727213E-13</v>
      </c>
      <c r="AE58" s="174">
        <f t="shared" si="10"/>
        <v>5.1159076974727213E-13</v>
      </c>
    </row>
    <row r="59" spans="12:31" ht="36" customHeight="1">
      <c r="L59" s="178"/>
      <c r="M59" s="179">
        <v>49</v>
      </c>
      <c r="N59" s="176">
        <f t="shared" si="9"/>
        <v>50</v>
      </c>
      <c r="O59" s="192">
        <f t="shared" si="5"/>
        <v>0.14099999999999999</v>
      </c>
      <c r="P59" s="192">
        <f t="shared" si="6"/>
        <v>0.14099999999999999</v>
      </c>
      <c r="Q59" s="183">
        <f t="shared" si="7"/>
        <v>4.2632564145606011E-13</v>
      </c>
      <c r="R59" s="184"/>
      <c r="AC59" s="173">
        <v>17</v>
      </c>
      <c r="AD59" s="174" cm="1">
        <f t="array" ref="AD59">SUMPRODUCT(($M$44:$M$74&lt;=AC59)*($N$44:$N$74&gt;=AC59)*($Q$44:$Q$74))</f>
        <v>5.1159076974727213E-13</v>
      </c>
      <c r="AE59" s="174">
        <f t="shared" si="10"/>
        <v>5.1159076974727213E-13</v>
      </c>
    </row>
    <row r="60" spans="12:31" ht="36" customHeight="1">
      <c r="L60" s="178"/>
      <c r="M60" s="179">
        <v>51</v>
      </c>
      <c r="N60" s="176">
        <f t="shared" si="9"/>
        <v>53</v>
      </c>
      <c r="O60" s="192">
        <f t="shared" si="5"/>
        <v>0.14099999999999999</v>
      </c>
      <c r="P60" s="192">
        <f t="shared" si="6"/>
        <v>0.14099999999999999</v>
      </c>
      <c r="Q60" s="183">
        <f t="shared" si="7"/>
        <v>3.979039320256561E-13</v>
      </c>
      <c r="R60" s="184"/>
      <c r="AC60" s="173">
        <v>18</v>
      </c>
      <c r="AD60" s="174" cm="1">
        <f t="array" ref="AD60">SUMPRODUCT(($M$44:$M$74&lt;=AC60)*($N$44:$N$74&gt;=AC60)*($Q$44:$Q$74))</f>
        <v>5.1159076974727213E-13</v>
      </c>
      <c r="AE60" s="174">
        <f t="shared" si="10"/>
        <v>5.1159076974727213E-13</v>
      </c>
    </row>
    <row r="61" spans="12:31" ht="36" customHeight="1">
      <c r="L61" s="178"/>
      <c r="M61" s="179">
        <v>54</v>
      </c>
      <c r="N61" s="176">
        <f t="shared" si="9"/>
        <v>56</v>
      </c>
      <c r="O61" s="192">
        <f t="shared" si="5"/>
        <v>0.14099999999999999</v>
      </c>
      <c r="P61" s="192">
        <f t="shared" si="6"/>
        <v>0.14099999999999999</v>
      </c>
      <c r="Q61" s="183">
        <f t="shared" si="7"/>
        <v>3.836930773104541E-13</v>
      </c>
      <c r="R61" s="184"/>
      <c r="AC61" s="173">
        <v>19</v>
      </c>
      <c r="AD61" s="174" cm="1">
        <f t="array" ref="AD61">SUMPRODUCT(($M$44:$M$74&lt;=AC61)*($N$44:$N$74&gt;=AC61)*($Q$44:$Q$74))</f>
        <v>4.9737991503207013E-13</v>
      </c>
      <c r="AE61" s="174">
        <f t="shared" si="10"/>
        <v>4.9737991503207013E-13</v>
      </c>
    </row>
    <row r="62" spans="12:31" ht="36" customHeight="1">
      <c r="L62" s="178"/>
      <c r="M62" s="179">
        <v>57</v>
      </c>
      <c r="N62" s="176">
        <f t="shared" si="9"/>
        <v>60</v>
      </c>
      <c r="O62" s="192">
        <f t="shared" si="5"/>
        <v>0.14099999999999999</v>
      </c>
      <c r="P62" s="192">
        <f t="shared" si="6"/>
        <v>0.14099999999999999</v>
      </c>
      <c r="Q62" s="183">
        <f t="shared" si="7"/>
        <v>3.979039320256561E-13</v>
      </c>
      <c r="R62" s="184"/>
      <c r="AC62" s="173">
        <v>20</v>
      </c>
      <c r="AD62" s="174" cm="1">
        <f t="array" ref="AD62">SUMPRODUCT(($M$44:$M$74&lt;=AC62)*($N$44:$N$74&gt;=AC62)*($Q$44:$Q$74))</f>
        <v>4.9737991503207013E-13</v>
      </c>
      <c r="AE62" s="174">
        <f t="shared" si="10"/>
        <v>4.9737991503207013E-13</v>
      </c>
    </row>
    <row r="63" spans="12:31" ht="36" customHeight="1">
      <c r="L63" s="178"/>
      <c r="M63" s="179">
        <v>61</v>
      </c>
      <c r="N63" s="176">
        <f t="shared" si="9"/>
        <v>66</v>
      </c>
      <c r="O63" s="192">
        <f t="shared" si="5"/>
        <v>0.14099999999999999</v>
      </c>
      <c r="P63" s="192">
        <f t="shared" si="6"/>
        <v>0.14099999999999999</v>
      </c>
      <c r="Q63" s="183">
        <f t="shared" si="7"/>
        <v>3.694822225952521E-13</v>
      </c>
      <c r="R63" s="184"/>
      <c r="AC63" s="173">
        <v>21</v>
      </c>
      <c r="AD63" s="174" cm="1">
        <f t="array" ref="AD63">SUMPRODUCT(($M$44:$M$74&lt;=AC63)*($N$44:$N$74&gt;=AC63)*($Q$44:$Q$74))</f>
        <v>4.9737991503207013E-13</v>
      </c>
      <c r="AE63" s="174">
        <f t="shared" si="10"/>
        <v>4.9737991503207013E-13</v>
      </c>
    </row>
    <row r="64" spans="12:31" ht="36" customHeight="1">
      <c r="L64" s="178"/>
      <c r="M64" s="179">
        <v>67</v>
      </c>
      <c r="N64" s="176">
        <f t="shared" si="9"/>
        <v>72</v>
      </c>
      <c r="O64" s="192">
        <f t="shared" si="5"/>
        <v>0.14099999999999999</v>
      </c>
      <c r="P64" s="192">
        <f t="shared" si="6"/>
        <v>0.14099999999999999</v>
      </c>
      <c r="Q64" s="183">
        <f t="shared" si="7"/>
        <v>3.5527136788005009E-13</v>
      </c>
      <c r="R64" s="184"/>
      <c r="AC64" s="173">
        <v>22</v>
      </c>
      <c r="AD64" s="174" cm="1">
        <f t="array" ref="AD64">SUMPRODUCT(($M$44:$M$74&lt;=AC64)*($N$44:$N$74&gt;=AC64)*($Q$44:$Q$74))</f>
        <v>4.9737991503207013E-13</v>
      </c>
      <c r="AE64" s="174">
        <f t="shared" si="10"/>
        <v>4.9737991503207013E-13</v>
      </c>
    </row>
    <row r="65" spans="12:31" ht="36" customHeight="1">
      <c r="L65" s="178"/>
      <c r="M65" s="179">
        <v>73</v>
      </c>
      <c r="N65" s="176">
        <f t="shared" si="9"/>
        <v>78</v>
      </c>
      <c r="O65" s="192">
        <f t="shared" si="5"/>
        <v>0.14099999999999999</v>
      </c>
      <c r="P65" s="192">
        <f t="shared" si="6"/>
        <v>0.14099999999999999</v>
      </c>
      <c r="Q65" s="183">
        <f t="shared" si="7"/>
        <v>3.2684965844964609E-13</v>
      </c>
      <c r="R65" s="184"/>
      <c r="AC65" s="173">
        <v>23</v>
      </c>
      <c r="AD65" s="174" cm="1">
        <f t="array" ref="AD65">SUMPRODUCT(($M$44:$M$74&lt;=AC65)*($N$44:$N$74&gt;=AC65)*($Q$44:$Q$74))</f>
        <v>4.9737991503207013E-13</v>
      </c>
      <c r="AE65" s="174">
        <f t="shared" si="10"/>
        <v>4.9737991503207013E-13</v>
      </c>
    </row>
    <row r="66" spans="12:31" ht="36" customHeight="1">
      <c r="L66" s="178"/>
      <c r="M66" s="179">
        <v>79</v>
      </c>
      <c r="N66" s="176">
        <f t="shared" si="9"/>
        <v>84</v>
      </c>
      <c r="O66" s="192">
        <f t="shared" si="5"/>
        <v>0.14099999999999999</v>
      </c>
      <c r="P66" s="192">
        <f t="shared" si="6"/>
        <v>0.14099999999999999</v>
      </c>
      <c r="Q66" s="183">
        <f t="shared" si="7"/>
        <v>3.2684965844964609E-13</v>
      </c>
      <c r="R66" s="184"/>
      <c r="AC66" s="173">
        <v>24</v>
      </c>
      <c r="AD66" s="174" cm="1">
        <f t="array" ref="AD66">SUMPRODUCT(($M$44:$M$74&lt;=AC66)*($N$44:$N$74&gt;=AC66)*($Q$44:$Q$74))</f>
        <v>4.9737991503207013E-13</v>
      </c>
      <c r="AE66" s="174">
        <f t="shared" si="10"/>
        <v>4.9737991503207013E-13</v>
      </c>
    </row>
    <row r="67" spans="12:31" ht="36" customHeight="1">
      <c r="L67" s="178"/>
      <c r="M67" s="179">
        <v>85</v>
      </c>
      <c r="N67" s="176">
        <f t="shared" si="9"/>
        <v>96</v>
      </c>
      <c r="O67" s="192">
        <f t="shared" si="5"/>
        <v>0.14099999999999999</v>
      </c>
      <c r="P67" s="192">
        <f t="shared" si="6"/>
        <v>0.14099999999999999</v>
      </c>
      <c r="Q67" s="183">
        <f t="shared" si="7"/>
        <v>2.9842794901924208E-13</v>
      </c>
      <c r="R67" s="184"/>
      <c r="AC67" s="173">
        <v>25</v>
      </c>
      <c r="AD67" s="174" cm="1">
        <f t="array" ref="AD67">SUMPRODUCT(($M$44:$M$74&lt;=AC67)*($N$44:$N$74&gt;=AC67)*($Q$44:$Q$74))</f>
        <v>4.4053649617126212E-13</v>
      </c>
      <c r="AE67" s="174">
        <f t="shared" si="10"/>
        <v>4.4053649617126212E-13</v>
      </c>
    </row>
    <row r="68" spans="12:31" ht="36" customHeight="1">
      <c r="L68" s="178"/>
      <c r="M68" s="179">
        <v>97</v>
      </c>
      <c r="N68" s="176">
        <f t="shared" si="9"/>
        <v>108</v>
      </c>
      <c r="O68" s="192">
        <f t="shared" si="5"/>
        <v>0.14099999999999999</v>
      </c>
      <c r="P68" s="192">
        <f t="shared" si="6"/>
        <v>0.14099999999999999</v>
      </c>
      <c r="Q68" s="183">
        <f t="shared" si="7"/>
        <v>2.7000623958883807E-13</v>
      </c>
      <c r="R68" s="184"/>
      <c r="AC68" s="173">
        <v>26</v>
      </c>
      <c r="AD68" s="174" cm="1">
        <f t="array" ref="AD68">SUMPRODUCT(($M$44:$M$74&lt;=AC68)*($N$44:$N$74&gt;=AC68)*($Q$44:$Q$74))</f>
        <v>4.4053649617126212E-13</v>
      </c>
      <c r="AE68" s="174">
        <f t="shared" si="10"/>
        <v>4.4053649617126212E-13</v>
      </c>
    </row>
    <row r="69" spans="12:31" ht="36" customHeight="1">
      <c r="L69" s="178"/>
      <c r="M69" s="179">
        <v>109</v>
      </c>
      <c r="N69" s="176">
        <f t="shared" si="9"/>
        <v>120</v>
      </c>
      <c r="O69" s="192">
        <f t="shared" si="5"/>
        <v>0.14099999999999999</v>
      </c>
      <c r="P69" s="192">
        <f t="shared" si="6"/>
        <v>0.14099999999999999</v>
      </c>
      <c r="Q69" s="183">
        <f t="shared" si="7"/>
        <v>2.5579538487363607E-13</v>
      </c>
      <c r="R69" s="184"/>
      <c r="AC69" s="173">
        <v>27</v>
      </c>
      <c r="AD69" s="174" cm="1">
        <f t="array" ref="AD69">SUMPRODUCT(($M$44:$M$74&lt;=AC69)*($N$44:$N$74&gt;=AC69)*($Q$44:$Q$74))</f>
        <v>4.4053649617126212E-13</v>
      </c>
      <c r="AE69" s="174">
        <f t="shared" si="10"/>
        <v>4.4053649617126212E-13</v>
      </c>
    </row>
    <row r="70" spans="12:31" ht="36" customHeight="1">
      <c r="L70" s="178"/>
      <c r="M70" s="179">
        <v>121</v>
      </c>
      <c r="N70" s="176">
        <f t="shared" si="9"/>
        <v>132</v>
      </c>
      <c r="O70" s="192">
        <f t="shared" si="5"/>
        <v>0.14099999999999999</v>
      </c>
      <c r="P70" s="192">
        <f t="shared" si="6"/>
        <v>0.14099999999999999</v>
      </c>
      <c r="Q70" s="183">
        <f t="shared" si="7"/>
        <v>2.4158453015843406E-13</v>
      </c>
      <c r="R70" s="184"/>
      <c r="AC70" s="173">
        <v>28</v>
      </c>
      <c r="AD70" s="174" cm="1">
        <f t="array" ref="AD70">SUMPRODUCT(($M$44:$M$74&lt;=AC70)*($N$44:$N$74&gt;=AC70)*($Q$44:$Q$74))</f>
        <v>4.1211478674085811E-13</v>
      </c>
      <c r="AE70" s="174">
        <f t="shared" si="10"/>
        <v>4.1211478674085811E-13</v>
      </c>
    </row>
    <row r="71" spans="12:31" ht="36" customHeight="1">
      <c r="L71" s="178"/>
      <c r="M71" s="179">
        <v>133</v>
      </c>
      <c r="N71" s="176">
        <f t="shared" si="9"/>
        <v>144</v>
      </c>
      <c r="O71" s="192">
        <f t="shared" si="5"/>
        <v>0.14099999999999999</v>
      </c>
      <c r="P71" s="192">
        <f t="shared" si="6"/>
        <v>0.14099999999999999</v>
      </c>
      <c r="Q71" s="183">
        <f t="shared" si="7"/>
        <v>2.4158453015843406E-13</v>
      </c>
      <c r="R71" s="184"/>
      <c r="AC71" s="173">
        <v>29</v>
      </c>
      <c r="AD71" s="174" cm="1">
        <f t="array" ref="AD71">SUMPRODUCT(($M$44:$M$74&lt;=AC71)*($N$44:$N$74&gt;=AC71)*($Q$44:$Q$74))</f>
        <v>4.1211478674085811E-13</v>
      </c>
      <c r="AE71" s="174">
        <f t="shared" si="10"/>
        <v>4.1211478674085811E-13</v>
      </c>
    </row>
    <row r="72" spans="12:31" ht="36" customHeight="1">
      <c r="L72" s="178"/>
      <c r="M72" s="179">
        <v>145</v>
      </c>
      <c r="N72" s="176">
        <f t="shared" si="9"/>
        <v>156</v>
      </c>
      <c r="O72" s="192">
        <f t="shared" si="5"/>
        <v>0.14099999999999999</v>
      </c>
      <c r="P72" s="192">
        <f t="shared" si="6"/>
        <v>0.14099999999999999</v>
      </c>
      <c r="Q72" s="183">
        <f t="shared" si="7"/>
        <v>2.1316282072803006E-13</v>
      </c>
      <c r="R72" s="184"/>
      <c r="AC72" s="173">
        <v>30</v>
      </c>
      <c r="AD72" s="174" cm="1">
        <f t="array" ref="AD72">SUMPRODUCT(($M$44:$M$74&lt;=AC72)*($N$44:$N$74&gt;=AC72)*($Q$44:$Q$74))</f>
        <v>4.1211478674085811E-13</v>
      </c>
      <c r="AE72" s="174">
        <f t="shared" si="10"/>
        <v>4.1211478674085811E-13</v>
      </c>
    </row>
    <row r="73" spans="12:31" ht="36" customHeight="1">
      <c r="L73" s="178"/>
      <c r="M73" s="179">
        <v>157</v>
      </c>
      <c r="N73" s="176">
        <f t="shared" si="9"/>
        <v>168</v>
      </c>
      <c r="O73" s="192">
        <f t="shared" si="5"/>
        <v>0.14099999999999999</v>
      </c>
      <c r="P73" s="192">
        <f t="shared" si="6"/>
        <v>0.14099999999999999</v>
      </c>
      <c r="Q73" s="183">
        <f t="shared" si="7"/>
        <v>1.8474111129762605E-13</v>
      </c>
      <c r="R73" s="184"/>
      <c r="AC73" s="173">
        <v>31</v>
      </c>
      <c r="AD73" s="174" cm="1">
        <f t="array" ref="AD73">SUMPRODUCT(($M$44:$M$74&lt;=AC73)*($N$44:$N$74&gt;=AC73)*($Q$44:$Q$74))</f>
        <v>4.6895820560166612E-13</v>
      </c>
      <c r="AE73" s="174">
        <f t="shared" si="10"/>
        <v>4.6895820560166612E-13</v>
      </c>
    </row>
    <row r="74" spans="12:31" ht="36" customHeight="1">
      <c r="L74" s="178"/>
      <c r="M74" s="179">
        <v>169</v>
      </c>
      <c r="N74" s="176">
        <v>180</v>
      </c>
      <c r="O74" s="192">
        <f t="shared" si="5"/>
        <v>0.14099999999999999</v>
      </c>
      <c r="P74" s="192">
        <f t="shared" si="6"/>
        <v>0.14099999999999999</v>
      </c>
      <c r="Q74" s="183">
        <f t="shared" si="7"/>
        <v>1.8474111129762605E-13</v>
      </c>
      <c r="R74" s="184"/>
      <c r="AC74" s="173">
        <v>32</v>
      </c>
      <c r="AD74" s="174" cm="1">
        <f t="array" ref="AD74">SUMPRODUCT(($M$44:$M$74&lt;=AC74)*($N$44:$N$74&gt;=AC74)*($Q$44:$Q$74))</f>
        <v>4.6895820560166612E-13</v>
      </c>
      <c r="AE74" s="174">
        <f t="shared" si="10"/>
        <v>4.6895820560166612E-13</v>
      </c>
    </row>
    <row r="75" spans="12:31" ht="36" customHeight="1">
      <c r="L75" s="180"/>
      <c r="AC75" s="173">
        <v>33</v>
      </c>
      <c r="AD75" s="174" cm="1">
        <f t="array" ref="AD75">SUMPRODUCT(($M$44:$M$74&lt;=AC75)*($N$44:$N$74&gt;=AC75)*($Q$44:$Q$74))</f>
        <v>4.6895820560166612E-13</v>
      </c>
      <c r="AE75" s="174">
        <f t="shared" si="10"/>
        <v>4.6895820560166612E-13</v>
      </c>
    </row>
    <row r="76" spans="12:31" ht="36" customHeight="1">
      <c r="L76" s="180"/>
      <c r="AC76" s="173">
        <v>34</v>
      </c>
      <c r="AD76" s="174" cm="1">
        <f t="array" ref="AD76">SUMPRODUCT(($M$44:$M$74&lt;=AC76)*($N$44:$N$74&gt;=AC76)*($Q$44:$Q$74))</f>
        <v>4.5474735088646412E-13</v>
      </c>
      <c r="AE76" s="174">
        <f t="shared" si="10"/>
        <v>4.5474735088646412E-13</v>
      </c>
    </row>
    <row r="77" spans="12:31" ht="36" customHeight="1">
      <c r="AC77" s="173">
        <v>35</v>
      </c>
      <c r="AD77" s="174" cm="1">
        <f t="array" ref="AD77">SUMPRODUCT(($M$44:$M$74&lt;=AC77)*($N$44:$N$74&gt;=AC77)*($Q$44:$Q$74))</f>
        <v>4.5474735088646412E-13</v>
      </c>
      <c r="AE77" s="174">
        <f t="shared" si="10"/>
        <v>4.5474735088646412E-13</v>
      </c>
    </row>
    <row r="78" spans="12:31" ht="36" customHeight="1">
      <c r="AC78" s="173">
        <v>36</v>
      </c>
      <c r="AD78" s="174" cm="1">
        <f t="array" ref="AD78">SUMPRODUCT(($M$44:$M$74&lt;=AC78)*($N$44:$N$74&gt;=AC78)*($Q$44:$Q$74))</f>
        <v>4.5474735088646412E-13</v>
      </c>
      <c r="AE78" s="174">
        <f t="shared" si="10"/>
        <v>4.5474735088646412E-13</v>
      </c>
    </row>
    <row r="79" spans="12:31" ht="36" customHeight="1">
      <c r="AC79" s="173">
        <v>37</v>
      </c>
      <c r="AD79" s="174" cm="1">
        <f t="array" ref="AD79">SUMPRODUCT(($M$44:$M$74&lt;=AC79)*($N$44:$N$74&gt;=AC79)*($Q$44:$Q$74))</f>
        <v>4.4053649617126212E-13</v>
      </c>
      <c r="AE79" s="174">
        <f t="shared" si="10"/>
        <v>4.4053649617126212E-13</v>
      </c>
    </row>
    <row r="80" spans="12:31" ht="36" customHeight="1">
      <c r="AC80" s="173">
        <v>38</v>
      </c>
      <c r="AD80" s="174" cm="1">
        <f t="array" ref="AD80">SUMPRODUCT(($M$44:$M$74&lt;=AC80)*($N$44:$N$74&gt;=AC80)*($Q$44:$Q$74))</f>
        <v>4.4053649617126212E-13</v>
      </c>
      <c r="AE80" s="174">
        <f t="shared" si="10"/>
        <v>4.4053649617126212E-13</v>
      </c>
    </row>
    <row r="81" spans="29:31" ht="36" customHeight="1">
      <c r="AC81" s="173">
        <v>39</v>
      </c>
      <c r="AD81" s="174" cm="1">
        <f t="array" ref="AD81">SUMPRODUCT(($M$44:$M$74&lt;=AC81)*($N$44:$N$74&gt;=AC81)*($Q$44:$Q$74))</f>
        <v>4.4053649617126212E-13</v>
      </c>
      <c r="AE81" s="174">
        <f t="shared" si="10"/>
        <v>4.4053649617126212E-13</v>
      </c>
    </row>
    <row r="82" spans="29:31" ht="36" customHeight="1">
      <c r="AC82" s="173">
        <v>40</v>
      </c>
      <c r="AD82" s="174" cm="1">
        <f t="array" ref="AD82">SUMPRODUCT(($M$44:$M$74&lt;=AC82)*($N$44:$N$74&gt;=AC82)*($Q$44:$Q$74))</f>
        <v>4.4053649617126212E-13</v>
      </c>
      <c r="AE82" s="174">
        <f t="shared" si="10"/>
        <v>4.4053649617126212E-13</v>
      </c>
    </row>
    <row r="83" spans="29:31" ht="36" customHeight="1">
      <c r="AC83" s="173">
        <v>41</v>
      </c>
      <c r="AD83" s="174" cm="1">
        <f t="array" ref="AD83">SUMPRODUCT(($M$44:$M$74&lt;=AC83)*($N$44:$N$74&gt;=AC83)*($Q$44:$Q$74))</f>
        <v>4.1211478674085811E-13</v>
      </c>
      <c r="AE83" s="174">
        <f t="shared" si="10"/>
        <v>4.1211478674085811E-13</v>
      </c>
    </row>
    <row r="84" spans="29:31" ht="36" customHeight="1">
      <c r="AC84" s="173">
        <v>42</v>
      </c>
      <c r="AD84" s="174" cm="1">
        <f t="array" ref="AD84">SUMPRODUCT(($M$44:$M$74&lt;=AC84)*($N$44:$N$74&gt;=AC84)*($Q$44:$Q$74))</f>
        <v>4.1211478674085811E-13</v>
      </c>
      <c r="AE84" s="174">
        <f t="shared" si="10"/>
        <v>4.1211478674085811E-13</v>
      </c>
    </row>
    <row r="85" spans="29:31" ht="36" customHeight="1">
      <c r="AC85" s="173">
        <v>43</v>
      </c>
      <c r="AD85" s="174" cm="1">
        <f t="array" ref="AD85">SUMPRODUCT(($M$44:$M$74&lt;=AC85)*($N$44:$N$74&gt;=AC85)*($Q$44:$Q$74))</f>
        <v>4.2632564145606011E-13</v>
      </c>
      <c r="AE85" s="174">
        <f t="shared" si="10"/>
        <v>4.2632564145606011E-13</v>
      </c>
    </row>
    <row r="86" spans="29:31" ht="36" customHeight="1">
      <c r="AC86" s="173">
        <v>44</v>
      </c>
      <c r="AD86" s="174" cm="1">
        <f t="array" ref="AD86">SUMPRODUCT(($M$44:$M$74&lt;=AC86)*($N$44:$N$74&gt;=AC86)*($Q$44:$Q$74))</f>
        <v>4.2632564145606011E-13</v>
      </c>
      <c r="AE86" s="174">
        <f t="shared" si="10"/>
        <v>4.2632564145606011E-13</v>
      </c>
    </row>
    <row r="87" spans="29:31" ht="36" customHeight="1">
      <c r="AC87" s="173">
        <v>45</v>
      </c>
      <c r="AD87" s="174" cm="1">
        <f t="array" ref="AD87">SUMPRODUCT(($M$44:$M$74&lt;=AC87)*($N$44:$N$74&gt;=AC87)*($Q$44:$Q$74))</f>
        <v>4.2632564145606011E-13</v>
      </c>
      <c r="AE87" s="174">
        <f t="shared" si="10"/>
        <v>4.2632564145606011E-13</v>
      </c>
    </row>
    <row r="88" spans="29:31" ht="36" customHeight="1">
      <c r="AC88" s="173">
        <v>46</v>
      </c>
      <c r="AD88" s="174" cm="1">
        <f t="array" ref="AD88">SUMPRODUCT(($M$44:$M$74&lt;=AC88)*($N$44:$N$74&gt;=AC88)*($Q$44:$Q$74))</f>
        <v>4.2632564145606011E-13</v>
      </c>
      <c r="AE88" s="174">
        <f t="shared" si="10"/>
        <v>4.2632564145606011E-13</v>
      </c>
    </row>
    <row r="89" spans="29:31" ht="36" customHeight="1">
      <c r="AC89" s="173">
        <v>47</v>
      </c>
      <c r="AD89" s="174" cm="1">
        <f t="array" ref="AD89">SUMPRODUCT(($M$44:$M$74&lt;=AC89)*($N$44:$N$74&gt;=AC89)*($Q$44:$Q$74))</f>
        <v>4.2632564145606011E-13</v>
      </c>
      <c r="AE89" s="174">
        <f t="shared" si="10"/>
        <v>4.2632564145606011E-13</v>
      </c>
    </row>
    <row r="90" spans="29:31" ht="36" customHeight="1">
      <c r="AC90" s="173">
        <v>48</v>
      </c>
      <c r="AD90" s="174" cm="1">
        <f t="array" ref="AD90">SUMPRODUCT(($M$44:$M$74&lt;=AC90)*($N$44:$N$74&gt;=AC90)*($Q$44:$Q$74))</f>
        <v>4.2632564145606011E-13</v>
      </c>
      <c r="AE90" s="174">
        <f t="shared" si="10"/>
        <v>4.2632564145606011E-13</v>
      </c>
    </row>
    <row r="91" spans="29:31" ht="36" customHeight="1">
      <c r="AC91" s="173">
        <v>49</v>
      </c>
      <c r="AD91" s="174" cm="1">
        <f t="array" ref="AD91">SUMPRODUCT(($M$44:$M$74&lt;=AC91)*($N$44:$N$74&gt;=AC91)*($Q$44:$Q$74))</f>
        <v>4.2632564145606011E-13</v>
      </c>
      <c r="AE91" s="174">
        <f t="shared" si="10"/>
        <v>4.2632564145606011E-13</v>
      </c>
    </row>
    <row r="92" spans="29:31" ht="36" customHeight="1">
      <c r="AC92" s="173">
        <v>50</v>
      </c>
      <c r="AD92" s="174" cm="1">
        <f t="array" ref="AD92">SUMPRODUCT(($M$44:$M$74&lt;=AC92)*($N$44:$N$74&gt;=AC92)*($Q$44:$Q$74))</f>
        <v>4.2632564145606011E-13</v>
      </c>
      <c r="AE92" s="174">
        <f t="shared" si="10"/>
        <v>4.2632564145606011E-13</v>
      </c>
    </row>
    <row r="93" spans="29:31" ht="36" customHeight="1">
      <c r="AC93" s="173">
        <v>51</v>
      </c>
      <c r="AD93" s="174" cm="1">
        <f t="array" ref="AD93">SUMPRODUCT(($M$44:$M$74&lt;=AC93)*($N$44:$N$74&gt;=AC93)*($Q$44:$Q$74))</f>
        <v>3.979039320256561E-13</v>
      </c>
      <c r="AE93" s="174">
        <f t="shared" si="10"/>
        <v>3.979039320256561E-13</v>
      </c>
    </row>
    <row r="94" spans="29:31" ht="36" customHeight="1">
      <c r="AC94" s="173">
        <v>52</v>
      </c>
      <c r="AD94" s="174" cm="1">
        <f t="array" ref="AD94">SUMPRODUCT(($M$44:$M$74&lt;=AC94)*($N$44:$N$74&gt;=AC94)*($Q$44:$Q$74))</f>
        <v>3.979039320256561E-13</v>
      </c>
      <c r="AE94" s="174">
        <f t="shared" si="10"/>
        <v>3.979039320256561E-13</v>
      </c>
    </row>
    <row r="95" spans="29:31" ht="36" customHeight="1">
      <c r="AC95" s="173">
        <v>53</v>
      </c>
      <c r="AD95" s="174" cm="1">
        <f t="array" ref="AD95">SUMPRODUCT(($M$44:$M$74&lt;=AC95)*($N$44:$N$74&gt;=AC95)*($Q$44:$Q$74))</f>
        <v>3.979039320256561E-13</v>
      </c>
      <c r="AE95" s="174">
        <f t="shared" si="10"/>
        <v>3.979039320256561E-13</v>
      </c>
    </row>
    <row r="96" spans="29:31" ht="36" customHeight="1">
      <c r="AC96" s="173">
        <v>54</v>
      </c>
      <c r="AD96" s="174" cm="1">
        <f t="array" ref="AD96">SUMPRODUCT(($M$44:$M$74&lt;=AC96)*($N$44:$N$74&gt;=AC96)*($Q$44:$Q$74))</f>
        <v>3.836930773104541E-13</v>
      </c>
      <c r="AE96" s="174">
        <f t="shared" si="10"/>
        <v>3.836930773104541E-13</v>
      </c>
    </row>
    <row r="97" spans="29:31" ht="36" customHeight="1">
      <c r="AC97" s="173">
        <v>55</v>
      </c>
      <c r="AD97" s="174" cm="1">
        <f t="array" ref="AD97">SUMPRODUCT(($M$44:$M$74&lt;=AC97)*($N$44:$N$74&gt;=AC97)*($Q$44:$Q$74))</f>
        <v>3.836930773104541E-13</v>
      </c>
      <c r="AE97" s="174">
        <f t="shared" si="10"/>
        <v>3.836930773104541E-13</v>
      </c>
    </row>
    <row r="98" spans="29:31" ht="36" customHeight="1">
      <c r="AC98" s="173">
        <v>56</v>
      </c>
      <c r="AD98" s="174" cm="1">
        <f t="array" ref="AD98">SUMPRODUCT(($M$44:$M$74&lt;=AC98)*($N$44:$N$74&gt;=AC98)*($Q$44:$Q$74))</f>
        <v>3.836930773104541E-13</v>
      </c>
      <c r="AE98" s="174">
        <f t="shared" si="10"/>
        <v>3.836930773104541E-13</v>
      </c>
    </row>
    <row r="99" spans="29:31" ht="36" customHeight="1">
      <c r="AC99" s="173">
        <v>57</v>
      </c>
      <c r="AD99" s="174" cm="1">
        <f t="array" ref="AD99">SUMPRODUCT(($M$44:$M$74&lt;=AC99)*($N$44:$N$74&gt;=AC99)*($Q$44:$Q$74))</f>
        <v>3.979039320256561E-13</v>
      </c>
      <c r="AE99" s="174">
        <f t="shared" si="10"/>
        <v>3.979039320256561E-13</v>
      </c>
    </row>
    <row r="100" spans="29:31" ht="36" customHeight="1">
      <c r="AC100" s="173">
        <v>58</v>
      </c>
      <c r="AD100" s="174" cm="1">
        <f t="array" ref="AD100">SUMPRODUCT(($M$44:$M$74&lt;=AC100)*($N$44:$N$74&gt;=AC100)*($Q$44:$Q$74))</f>
        <v>3.979039320256561E-13</v>
      </c>
      <c r="AE100" s="174">
        <f t="shared" si="10"/>
        <v>3.979039320256561E-13</v>
      </c>
    </row>
    <row r="101" spans="29:31" ht="36" customHeight="1">
      <c r="AC101" s="173">
        <v>59</v>
      </c>
      <c r="AD101" s="174" cm="1">
        <f t="array" ref="AD101">SUMPRODUCT(($M$44:$M$74&lt;=AC101)*($N$44:$N$74&gt;=AC101)*($Q$44:$Q$74))</f>
        <v>3.979039320256561E-13</v>
      </c>
      <c r="AE101" s="174">
        <f t="shared" si="10"/>
        <v>3.979039320256561E-13</v>
      </c>
    </row>
    <row r="102" spans="29:31" ht="36" customHeight="1">
      <c r="AC102" s="173">
        <v>60</v>
      </c>
      <c r="AD102" s="174" cm="1">
        <f t="array" ref="AD102">SUMPRODUCT(($M$44:$M$74&lt;=AC102)*($N$44:$N$74&gt;=AC102)*($Q$44:$Q$74))</f>
        <v>3.979039320256561E-13</v>
      </c>
      <c r="AE102" s="174">
        <f t="shared" si="10"/>
        <v>3.979039320256561E-13</v>
      </c>
    </row>
    <row r="103" spans="29:31" ht="36" customHeight="1">
      <c r="AC103" s="173">
        <v>61</v>
      </c>
      <c r="AD103" s="174" cm="1">
        <f t="array" ref="AD103">SUMPRODUCT(($M$44:$M$74&lt;=AC103)*($N$44:$N$74&gt;=AC103)*($Q$44:$Q$74))</f>
        <v>3.694822225952521E-13</v>
      </c>
      <c r="AE103" s="174">
        <f t="shared" si="10"/>
        <v>3.694822225952521E-13</v>
      </c>
    </row>
    <row r="104" spans="29:31" ht="36" customHeight="1">
      <c r="AC104" s="173">
        <v>62</v>
      </c>
      <c r="AD104" s="174" cm="1">
        <f t="array" ref="AD104">SUMPRODUCT(($M$44:$M$74&lt;=AC104)*($N$44:$N$74&gt;=AC104)*($Q$44:$Q$74))</f>
        <v>3.694822225952521E-13</v>
      </c>
      <c r="AE104" s="174">
        <f t="shared" si="10"/>
        <v>3.694822225952521E-13</v>
      </c>
    </row>
    <row r="105" spans="29:31" ht="36" customHeight="1">
      <c r="AC105" s="173">
        <v>63</v>
      </c>
      <c r="AD105" s="174" cm="1">
        <f t="array" ref="AD105">SUMPRODUCT(($M$44:$M$74&lt;=AC105)*($N$44:$N$74&gt;=AC105)*($Q$44:$Q$74))</f>
        <v>3.694822225952521E-13</v>
      </c>
      <c r="AE105" s="174">
        <f t="shared" si="10"/>
        <v>3.694822225952521E-13</v>
      </c>
    </row>
    <row r="106" spans="29:31" ht="36" customHeight="1">
      <c r="AC106" s="173">
        <v>64</v>
      </c>
      <c r="AD106" s="174" cm="1">
        <f t="array" ref="AD106">SUMPRODUCT(($M$44:$M$74&lt;=AC106)*($N$44:$N$74&gt;=AC106)*($Q$44:$Q$74))</f>
        <v>3.694822225952521E-13</v>
      </c>
      <c r="AE106" s="174">
        <f t="shared" si="10"/>
        <v>3.694822225952521E-13</v>
      </c>
    </row>
    <row r="107" spans="29:31" ht="36" customHeight="1">
      <c r="AC107" s="173">
        <v>65</v>
      </c>
      <c r="AD107" s="174" cm="1">
        <f t="array" ref="AD107">SUMPRODUCT(($M$44:$M$74&lt;=AC107)*($N$44:$N$74&gt;=AC107)*($Q$44:$Q$74))</f>
        <v>3.694822225952521E-13</v>
      </c>
      <c r="AE107" s="174">
        <f t="shared" si="10"/>
        <v>3.694822225952521E-13</v>
      </c>
    </row>
    <row r="108" spans="29:31" ht="36" customHeight="1">
      <c r="AC108" s="173">
        <v>66</v>
      </c>
      <c r="AD108" s="174" cm="1">
        <f t="array" ref="AD108">SUMPRODUCT(($M$44:$M$74&lt;=AC108)*($N$44:$N$74&gt;=AC108)*($Q$44:$Q$74))</f>
        <v>3.694822225952521E-13</v>
      </c>
      <c r="AE108" s="174">
        <f t="shared" si="10"/>
        <v>3.694822225952521E-13</v>
      </c>
    </row>
    <row r="109" spans="29:31" ht="36" customHeight="1">
      <c r="AC109" s="173">
        <v>67</v>
      </c>
      <c r="AD109" s="174" cm="1">
        <f t="array" ref="AD109">SUMPRODUCT(($M$44:$M$74&lt;=AC109)*($N$44:$N$74&gt;=AC109)*($Q$44:$Q$74))</f>
        <v>3.5527136788005009E-13</v>
      </c>
      <c r="AE109" s="174">
        <f t="shared" si="10"/>
        <v>3.5527136788005009E-13</v>
      </c>
    </row>
    <row r="110" spans="29:31" ht="36" customHeight="1">
      <c r="AC110" s="173">
        <v>68</v>
      </c>
      <c r="AD110" s="174" cm="1">
        <f t="array" ref="AD110">SUMPRODUCT(($M$44:$M$74&lt;=AC110)*($N$44:$N$74&gt;=AC110)*($Q$44:$Q$74))</f>
        <v>3.5527136788005009E-13</v>
      </c>
      <c r="AE110" s="174">
        <f t="shared" si="10"/>
        <v>3.5527136788005009E-13</v>
      </c>
    </row>
    <row r="111" spans="29:31" ht="36" customHeight="1">
      <c r="AC111" s="173">
        <v>69</v>
      </c>
      <c r="AD111" s="174" cm="1">
        <f t="array" ref="AD111">SUMPRODUCT(($M$44:$M$74&lt;=AC111)*($N$44:$N$74&gt;=AC111)*($Q$44:$Q$74))</f>
        <v>3.5527136788005009E-13</v>
      </c>
      <c r="AE111" s="174">
        <f t="shared" si="10"/>
        <v>3.5527136788005009E-13</v>
      </c>
    </row>
    <row r="112" spans="29:31" ht="36" customHeight="1">
      <c r="AC112" s="173">
        <v>70</v>
      </c>
      <c r="AD112" s="174" cm="1">
        <f t="array" ref="AD112">SUMPRODUCT(($M$44:$M$74&lt;=AC112)*($N$44:$N$74&gt;=AC112)*($Q$44:$Q$74))</f>
        <v>3.5527136788005009E-13</v>
      </c>
      <c r="AE112" s="174">
        <f t="shared" si="10"/>
        <v>3.5527136788005009E-13</v>
      </c>
    </row>
    <row r="113" spans="29:31" ht="36" customHeight="1">
      <c r="AC113" s="173">
        <v>71</v>
      </c>
      <c r="AD113" s="174" cm="1">
        <f t="array" ref="AD113">SUMPRODUCT(($M$44:$M$74&lt;=AC113)*($N$44:$N$74&gt;=AC113)*($Q$44:$Q$74))</f>
        <v>3.5527136788005009E-13</v>
      </c>
      <c r="AE113" s="174">
        <f t="shared" si="10"/>
        <v>3.5527136788005009E-13</v>
      </c>
    </row>
    <row r="114" spans="29:31" ht="36" customHeight="1">
      <c r="AC114" s="173">
        <v>72</v>
      </c>
      <c r="AD114" s="174" cm="1">
        <f t="array" ref="AD114">SUMPRODUCT(($M$44:$M$74&lt;=AC114)*($N$44:$N$74&gt;=AC114)*($Q$44:$Q$74))</f>
        <v>3.5527136788005009E-13</v>
      </c>
      <c r="AE114" s="174">
        <f t="shared" si="10"/>
        <v>3.5527136788005009E-13</v>
      </c>
    </row>
    <row r="115" spans="29:31" ht="36" customHeight="1">
      <c r="AC115" s="173">
        <v>73</v>
      </c>
      <c r="AD115" s="174" cm="1">
        <f t="array" ref="AD115">SUMPRODUCT(($M$44:$M$74&lt;=AC115)*($N$44:$N$74&gt;=AC115)*($Q$44:$Q$74))</f>
        <v>3.2684965844964609E-13</v>
      </c>
      <c r="AE115" s="174">
        <f t="shared" si="10"/>
        <v>3.2684965844964609E-13</v>
      </c>
    </row>
    <row r="116" spans="29:31" ht="36" customHeight="1">
      <c r="AC116" s="173">
        <v>74</v>
      </c>
      <c r="AD116" s="174" cm="1">
        <f t="array" ref="AD116">SUMPRODUCT(($M$44:$M$74&lt;=AC116)*($N$44:$N$74&gt;=AC116)*($Q$44:$Q$74))</f>
        <v>3.2684965844964609E-13</v>
      </c>
      <c r="AE116" s="174">
        <f t="shared" si="10"/>
        <v>3.2684965844964609E-13</v>
      </c>
    </row>
    <row r="117" spans="29:31" ht="36" customHeight="1">
      <c r="AC117" s="173">
        <v>75</v>
      </c>
      <c r="AD117" s="174" cm="1">
        <f t="array" ref="AD117">SUMPRODUCT(($M$44:$M$74&lt;=AC117)*($N$44:$N$74&gt;=AC117)*($Q$44:$Q$74))</f>
        <v>3.2684965844964609E-13</v>
      </c>
      <c r="AE117" s="174">
        <f t="shared" ref="AE117:AE180" si="11">AD117</f>
        <v>3.2684965844964609E-13</v>
      </c>
    </row>
    <row r="118" spans="29:31" ht="36" customHeight="1">
      <c r="AC118" s="173">
        <v>76</v>
      </c>
      <c r="AD118" s="174" cm="1">
        <f t="array" ref="AD118">SUMPRODUCT(($M$44:$M$74&lt;=AC118)*($N$44:$N$74&gt;=AC118)*($Q$44:$Q$74))</f>
        <v>3.2684965844964609E-13</v>
      </c>
      <c r="AE118" s="174">
        <f t="shared" si="11"/>
        <v>3.2684965844964609E-13</v>
      </c>
    </row>
    <row r="119" spans="29:31" ht="36" customHeight="1">
      <c r="AC119" s="173">
        <v>77</v>
      </c>
      <c r="AD119" s="174" cm="1">
        <f t="array" ref="AD119">SUMPRODUCT(($M$44:$M$74&lt;=AC119)*($N$44:$N$74&gt;=AC119)*($Q$44:$Q$74))</f>
        <v>3.2684965844964609E-13</v>
      </c>
      <c r="AE119" s="174">
        <f t="shared" si="11"/>
        <v>3.2684965844964609E-13</v>
      </c>
    </row>
    <row r="120" spans="29:31" ht="36" customHeight="1">
      <c r="AC120" s="173">
        <v>78</v>
      </c>
      <c r="AD120" s="174" cm="1">
        <f t="array" ref="AD120">SUMPRODUCT(($M$44:$M$74&lt;=AC120)*($N$44:$N$74&gt;=AC120)*($Q$44:$Q$74))</f>
        <v>3.2684965844964609E-13</v>
      </c>
      <c r="AE120" s="174">
        <f t="shared" si="11"/>
        <v>3.2684965844964609E-13</v>
      </c>
    </row>
    <row r="121" spans="29:31" ht="36" customHeight="1">
      <c r="AC121" s="173">
        <v>79</v>
      </c>
      <c r="AD121" s="174" cm="1">
        <f t="array" ref="AD121">SUMPRODUCT(($M$44:$M$74&lt;=AC121)*($N$44:$N$74&gt;=AC121)*($Q$44:$Q$74))</f>
        <v>3.2684965844964609E-13</v>
      </c>
      <c r="AE121" s="174">
        <f t="shared" si="11"/>
        <v>3.2684965844964609E-13</v>
      </c>
    </row>
    <row r="122" spans="29:31" ht="36" customHeight="1">
      <c r="AC122" s="173">
        <v>80</v>
      </c>
      <c r="AD122" s="174" cm="1">
        <f t="array" ref="AD122">SUMPRODUCT(($M$44:$M$74&lt;=AC122)*($N$44:$N$74&gt;=AC122)*($Q$44:$Q$74))</f>
        <v>3.2684965844964609E-13</v>
      </c>
      <c r="AE122" s="174">
        <f t="shared" si="11"/>
        <v>3.2684965844964609E-13</v>
      </c>
    </row>
    <row r="123" spans="29:31" ht="36" customHeight="1">
      <c r="AC123" s="173">
        <v>81</v>
      </c>
      <c r="AD123" s="174" cm="1">
        <f t="array" ref="AD123">SUMPRODUCT(($M$44:$M$74&lt;=AC123)*($N$44:$N$74&gt;=AC123)*($Q$44:$Q$74))</f>
        <v>3.2684965844964609E-13</v>
      </c>
      <c r="AE123" s="174">
        <f t="shared" si="11"/>
        <v>3.2684965844964609E-13</v>
      </c>
    </row>
    <row r="124" spans="29:31" ht="36" customHeight="1">
      <c r="AC124" s="173">
        <v>82</v>
      </c>
      <c r="AD124" s="174" cm="1">
        <f t="array" ref="AD124">SUMPRODUCT(($M$44:$M$74&lt;=AC124)*($N$44:$N$74&gt;=AC124)*($Q$44:$Q$74))</f>
        <v>3.2684965844964609E-13</v>
      </c>
      <c r="AE124" s="174">
        <f t="shared" si="11"/>
        <v>3.2684965844964609E-13</v>
      </c>
    </row>
    <row r="125" spans="29:31" ht="36" customHeight="1">
      <c r="AC125" s="173">
        <v>83</v>
      </c>
      <c r="AD125" s="174" cm="1">
        <f t="array" ref="AD125">SUMPRODUCT(($M$44:$M$74&lt;=AC125)*($N$44:$N$74&gt;=AC125)*($Q$44:$Q$74))</f>
        <v>3.2684965844964609E-13</v>
      </c>
      <c r="AE125" s="174">
        <f t="shared" si="11"/>
        <v>3.2684965844964609E-13</v>
      </c>
    </row>
    <row r="126" spans="29:31" ht="36" customHeight="1">
      <c r="AC126" s="173">
        <v>84</v>
      </c>
      <c r="AD126" s="174" cm="1">
        <f t="array" ref="AD126">SUMPRODUCT(($M$44:$M$74&lt;=AC126)*($N$44:$N$74&gt;=AC126)*($Q$44:$Q$74))</f>
        <v>3.2684965844964609E-13</v>
      </c>
      <c r="AE126" s="174">
        <f t="shared" si="11"/>
        <v>3.2684965844964609E-13</v>
      </c>
    </row>
    <row r="127" spans="29:31" ht="36" customHeight="1">
      <c r="AC127" s="173">
        <v>85</v>
      </c>
      <c r="AD127" s="174" cm="1">
        <f t="array" ref="AD127">SUMPRODUCT(($M$44:$M$74&lt;=AC127)*($N$44:$N$74&gt;=AC127)*($Q$44:$Q$74))</f>
        <v>2.9842794901924208E-13</v>
      </c>
      <c r="AE127" s="174">
        <f t="shared" si="11"/>
        <v>2.9842794901924208E-13</v>
      </c>
    </row>
    <row r="128" spans="29:31" ht="36" customHeight="1">
      <c r="AC128" s="173">
        <v>86</v>
      </c>
      <c r="AD128" s="174" cm="1">
        <f t="array" ref="AD128">SUMPRODUCT(($M$44:$M$74&lt;=AC128)*($N$44:$N$74&gt;=AC128)*($Q$44:$Q$74))</f>
        <v>2.9842794901924208E-13</v>
      </c>
      <c r="AE128" s="174">
        <f t="shared" si="11"/>
        <v>2.9842794901924208E-13</v>
      </c>
    </row>
    <row r="129" spans="29:31" ht="36" customHeight="1">
      <c r="AC129" s="173">
        <v>87</v>
      </c>
      <c r="AD129" s="174" cm="1">
        <f t="array" ref="AD129">SUMPRODUCT(($M$44:$M$74&lt;=AC129)*($N$44:$N$74&gt;=AC129)*($Q$44:$Q$74))</f>
        <v>2.9842794901924208E-13</v>
      </c>
      <c r="AE129" s="174">
        <f t="shared" si="11"/>
        <v>2.9842794901924208E-13</v>
      </c>
    </row>
    <row r="130" spans="29:31" ht="36" customHeight="1">
      <c r="AC130" s="173">
        <v>88</v>
      </c>
      <c r="AD130" s="174" cm="1">
        <f t="array" ref="AD130">SUMPRODUCT(($M$44:$M$74&lt;=AC130)*($N$44:$N$74&gt;=AC130)*($Q$44:$Q$74))</f>
        <v>2.9842794901924208E-13</v>
      </c>
      <c r="AE130" s="174">
        <f t="shared" si="11"/>
        <v>2.9842794901924208E-13</v>
      </c>
    </row>
    <row r="131" spans="29:31" ht="36" customHeight="1">
      <c r="AC131" s="173">
        <v>89</v>
      </c>
      <c r="AD131" s="174" cm="1">
        <f t="array" ref="AD131">SUMPRODUCT(($M$44:$M$74&lt;=AC131)*($N$44:$N$74&gt;=AC131)*($Q$44:$Q$74))</f>
        <v>2.9842794901924208E-13</v>
      </c>
      <c r="AE131" s="174">
        <f t="shared" si="11"/>
        <v>2.9842794901924208E-13</v>
      </c>
    </row>
    <row r="132" spans="29:31" ht="36" customHeight="1">
      <c r="AC132" s="173">
        <v>90</v>
      </c>
      <c r="AD132" s="174" cm="1">
        <f t="array" ref="AD132">SUMPRODUCT(($M$44:$M$74&lt;=AC132)*($N$44:$N$74&gt;=AC132)*($Q$44:$Q$74))</f>
        <v>2.9842794901924208E-13</v>
      </c>
      <c r="AE132" s="174">
        <f t="shared" si="11"/>
        <v>2.9842794901924208E-13</v>
      </c>
    </row>
    <row r="133" spans="29:31" ht="36" customHeight="1">
      <c r="AC133" s="173">
        <v>91</v>
      </c>
      <c r="AD133" s="174" cm="1">
        <f t="array" ref="AD133">SUMPRODUCT(($M$44:$M$74&lt;=AC133)*($N$44:$N$74&gt;=AC133)*($Q$44:$Q$74))</f>
        <v>2.9842794901924208E-13</v>
      </c>
      <c r="AE133" s="174">
        <f t="shared" si="11"/>
        <v>2.9842794901924208E-13</v>
      </c>
    </row>
    <row r="134" spans="29:31" ht="36" customHeight="1">
      <c r="AC134" s="173">
        <v>92</v>
      </c>
      <c r="AD134" s="174" cm="1">
        <f t="array" ref="AD134">SUMPRODUCT(($M$44:$M$74&lt;=AC134)*($N$44:$N$74&gt;=AC134)*($Q$44:$Q$74))</f>
        <v>2.9842794901924208E-13</v>
      </c>
      <c r="AE134" s="174">
        <f t="shared" si="11"/>
        <v>2.9842794901924208E-13</v>
      </c>
    </row>
    <row r="135" spans="29:31" ht="36" customHeight="1">
      <c r="AC135" s="173">
        <v>93</v>
      </c>
      <c r="AD135" s="174" cm="1">
        <f t="array" ref="AD135">SUMPRODUCT(($M$44:$M$74&lt;=AC135)*($N$44:$N$74&gt;=AC135)*($Q$44:$Q$74))</f>
        <v>2.9842794901924208E-13</v>
      </c>
      <c r="AE135" s="174">
        <f t="shared" si="11"/>
        <v>2.9842794901924208E-13</v>
      </c>
    </row>
    <row r="136" spans="29:31" ht="36" customHeight="1">
      <c r="AC136" s="173">
        <v>94</v>
      </c>
      <c r="AD136" s="174" cm="1">
        <f t="array" ref="AD136">SUMPRODUCT(($M$44:$M$74&lt;=AC136)*($N$44:$N$74&gt;=AC136)*($Q$44:$Q$74))</f>
        <v>2.9842794901924208E-13</v>
      </c>
      <c r="AE136" s="174">
        <f t="shared" si="11"/>
        <v>2.9842794901924208E-13</v>
      </c>
    </row>
    <row r="137" spans="29:31" ht="36" customHeight="1">
      <c r="AC137" s="173">
        <v>95</v>
      </c>
      <c r="AD137" s="174" cm="1">
        <f t="array" ref="AD137">SUMPRODUCT(($M$44:$M$74&lt;=AC137)*($N$44:$N$74&gt;=AC137)*($Q$44:$Q$74))</f>
        <v>2.9842794901924208E-13</v>
      </c>
      <c r="AE137" s="174">
        <f t="shared" si="11"/>
        <v>2.9842794901924208E-13</v>
      </c>
    </row>
    <row r="138" spans="29:31" ht="36" customHeight="1">
      <c r="AC138" s="173">
        <v>96</v>
      </c>
      <c r="AD138" s="174" cm="1">
        <f t="array" ref="AD138">SUMPRODUCT(($M$44:$M$74&lt;=AC138)*($N$44:$N$74&gt;=AC138)*($Q$44:$Q$74))</f>
        <v>2.9842794901924208E-13</v>
      </c>
      <c r="AE138" s="174">
        <f t="shared" si="11"/>
        <v>2.9842794901924208E-13</v>
      </c>
    </row>
    <row r="139" spans="29:31" ht="36" customHeight="1">
      <c r="AC139" s="173">
        <v>97</v>
      </c>
      <c r="AD139" s="174" cm="1">
        <f t="array" ref="AD139">SUMPRODUCT(($M$44:$M$74&lt;=AC139)*($N$44:$N$74&gt;=AC139)*($Q$44:$Q$74))</f>
        <v>2.7000623958883807E-13</v>
      </c>
      <c r="AE139" s="174">
        <f t="shared" si="11"/>
        <v>2.7000623958883807E-13</v>
      </c>
    </row>
    <row r="140" spans="29:31" ht="36" customHeight="1">
      <c r="AC140" s="173">
        <v>98</v>
      </c>
      <c r="AD140" s="174" cm="1">
        <f t="array" ref="AD140">SUMPRODUCT(($M$44:$M$74&lt;=AC140)*($N$44:$N$74&gt;=AC140)*($Q$44:$Q$74))</f>
        <v>2.7000623958883807E-13</v>
      </c>
      <c r="AE140" s="174">
        <f t="shared" si="11"/>
        <v>2.7000623958883807E-13</v>
      </c>
    </row>
    <row r="141" spans="29:31" ht="36" customHeight="1">
      <c r="AC141" s="173">
        <v>99</v>
      </c>
      <c r="AD141" s="174" cm="1">
        <f t="array" ref="AD141">SUMPRODUCT(($M$44:$M$74&lt;=AC141)*($N$44:$N$74&gt;=AC141)*($Q$44:$Q$74))</f>
        <v>2.7000623958883807E-13</v>
      </c>
      <c r="AE141" s="174">
        <f t="shared" si="11"/>
        <v>2.7000623958883807E-13</v>
      </c>
    </row>
    <row r="142" spans="29:31" ht="36" customHeight="1">
      <c r="AC142" s="173">
        <v>100</v>
      </c>
      <c r="AD142" s="174" cm="1">
        <f t="array" ref="AD142">SUMPRODUCT(($M$44:$M$74&lt;=AC142)*($N$44:$N$74&gt;=AC142)*($Q$44:$Q$74))</f>
        <v>2.7000623958883807E-13</v>
      </c>
      <c r="AE142" s="174">
        <f t="shared" si="11"/>
        <v>2.7000623958883807E-13</v>
      </c>
    </row>
    <row r="143" spans="29:31" ht="36" customHeight="1">
      <c r="AC143" s="173">
        <v>101</v>
      </c>
      <c r="AD143" s="174" cm="1">
        <f t="array" ref="AD143">SUMPRODUCT(($M$44:$M$74&lt;=AC143)*($N$44:$N$74&gt;=AC143)*($Q$44:$Q$74))</f>
        <v>2.7000623958883807E-13</v>
      </c>
      <c r="AE143" s="174">
        <f t="shared" si="11"/>
        <v>2.7000623958883807E-13</v>
      </c>
    </row>
    <row r="144" spans="29:31" ht="36" customHeight="1">
      <c r="AC144" s="173">
        <v>102</v>
      </c>
      <c r="AD144" s="174" cm="1">
        <f t="array" ref="AD144">SUMPRODUCT(($M$44:$M$74&lt;=AC144)*($N$44:$N$74&gt;=AC144)*($Q$44:$Q$74))</f>
        <v>2.7000623958883807E-13</v>
      </c>
      <c r="AE144" s="174">
        <f t="shared" si="11"/>
        <v>2.7000623958883807E-13</v>
      </c>
    </row>
    <row r="145" spans="29:31" ht="36" customHeight="1">
      <c r="AC145" s="173">
        <v>103</v>
      </c>
      <c r="AD145" s="174" cm="1">
        <f t="array" ref="AD145">SUMPRODUCT(($M$44:$M$74&lt;=AC145)*($N$44:$N$74&gt;=AC145)*($Q$44:$Q$74))</f>
        <v>2.7000623958883807E-13</v>
      </c>
      <c r="AE145" s="174">
        <f t="shared" si="11"/>
        <v>2.7000623958883807E-13</v>
      </c>
    </row>
    <row r="146" spans="29:31" ht="36" customHeight="1">
      <c r="AC146" s="173">
        <v>104</v>
      </c>
      <c r="AD146" s="174" cm="1">
        <f t="array" ref="AD146">SUMPRODUCT(($M$44:$M$74&lt;=AC146)*($N$44:$N$74&gt;=AC146)*($Q$44:$Q$74))</f>
        <v>2.7000623958883807E-13</v>
      </c>
      <c r="AE146" s="174">
        <f t="shared" si="11"/>
        <v>2.7000623958883807E-13</v>
      </c>
    </row>
    <row r="147" spans="29:31" ht="36" customHeight="1">
      <c r="AC147" s="173">
        <v>105</v>
      </c>
      <c r="AD147" s="174" cm="1">
        <f t="array" ref="AD147">SUMPRODUCT(($M$44:$M$74&lt;=AC147)*($N$44:$N$74&gt;=AC147)*($Q$44:$Q$74))</f>
        <v>2.7000623958883807E-13</v>
      </c>
      <c r="AE147" s="174">
        <f t="shared" si="11"/>
        <v>2.7000623958883807E-13</v>
      </c>
    </row>
    <row r="148" spans="29:31" ht="36" customHeight="1">
      <c r="AC148" s="173">
        <v>106</v>
      </c>
      <c r="AD148" s="174" cm="1">
        <f t="array" ref="AD148">SUMPRODUCT(($M$44:$M$74&lt;=AC148)*($N$44:$N$74&gt;=AC148)*($Q$44:$Q$74))</f>
        <v>2.7000623958883807E-13</v>
      </c>
      <c r="AE148" s="174">
        <f t="shared" si="11"/>
        <v>2.7000623958883807E-13</v>
      </c>
    </row>
    <row r="149" spans="29:31" ht="36" customHeight="1">
      <c r="AC149" s="173">
        <v>107</v>
      </c>
      <c r="AD149" s="174" cm="1">
        <f t="array" ref="AD149">SUMPRODUCT(($M$44:$M$74&lt;=AC149)*($N$44:$N$74&gt;=AC149)*($Q$44:$Q$74))</f>
        <v>2.7000623958883807E-13</v>
      </c>
      <c r="AE149" s="174">
        <f t="shared" si="11"/>
        <v>2.7000623958883807E-13</v>
      </c>
    </row>
    <row r="150" spans="29:31" ht="36" customHeight="1">
      <c r="AC150" s="173">
        <v>108</v>
      </c>
      <c r="AD150" s="174" cm="1">
        <f t="array" ref="AD150">SUMPRODUCT(($M$44:$M$74&lt;=AC150)*($N$44:$N$74&gt;=AC150)*($Q$44:$Q$74))</f>
        <v>2.7000623958883807E-13</v>
      </c>
      <c r="AE150" s="174">
        <f t="shared" si="11"/>
        <v>2.7000623958883807E-13</v>
      </c>
    </row>
    <row r="151" spans="29:31" ht="36" customHeight="1">
      <c r="AC151" s="173">
        <v>109</v>
      </c>
      <c r="AD151" s="174" cm="1">
        <f t="array" ref="AD151">SUMPRODUCT(($M$44:$M$74&lt;=AC151)*($N$44:$N$74&gt;=AC151)*($Q$44:$Q$74))</f>
        <v>2.5579538487363607E-13</v>
      </c>
      <c r="AE151" s="174">
        <f t="shared" si="11"/>
        <v>2.5579538487363607E-13</v>
      </c>
    </row>
    <row r="152" spans="29:31" ht="36" customHeight="1">
      <c r="AC152" s="173">
        <v>110</v>
      </c>
      <c r="AD152" s="174" cm="1">
        <f t="array" ref="AD152">SUMPRODUCT(($M$44:$M$74&lt;=AC152)*($N$44:$N$74&gt;=AC152)*($Q$44:$Q$74))</f>
        <v>2.5579538487363607E-13</v>
      </c>
      <c r="AE152" s="174">
        <f t="shared" si="11"/>
        <v>2.5579538487363607E-13</v>
      </c>
    </row>
    <row r="153" spans="29:31" ht="36" customHeight="1">
      <c r="AC153" s="173">
        <v>111</v>
      </c>
      <c r="AD153" s="174" cm="1">
        <f t="array" ref="AD153">SUMPRODUCT(($M$44:$M$74&lt;=AC153)*($N$44:$N$74&gt;=AC153)*($Q$44:$Q$74))</f>
        <v>2.5579538487363607E-13</v>
      </c>
      <c r="AE153" s="174">
        <f t="shared" si="11"/>
        <v>2.5579538487363607E-13</v>
      </c>
    </row>
    <row r="154" spans="29:31" ht="36" customHeight="1">
      <c r="AC154" s="173">
        <v>112</v>
      </c>
      <c r="AD154" s="174" cm="1">
        <f t="array" ref="AD154">SUMPRODUCT(($M$44:$M$74&lt;=AC154)*($N$44:$N$74&gt;=AC154)*($Q$44:$Q$74))</f>
        <v>2.5579538487363607E-13</v>
      </c>
      <c r="AE154" s="174">
        <f t="shared" si="11"/>
        <v>2.5579538487363607E-13</v>
      </c>
    </row>
    <row r="155" spans="29:31" ht="36" customHeight="1">
      <c r="AC155" s="173">
        <v>113</v>
      </c>
      <c r="AD155" s="174" cm="1">
        <f t="array" ref="AD155">SUMPRODUCT(($M$44:$M$74&lt;=AC155)*($N$44:$N$74&gt;=AC155)*($Q$44:$Q$74))</f>
        <v>2.5579538487363607E-13</v>
      </c>
      <c r="AE155" s="174">
        <f t="shared" si="11"/>
        <v>2.5579538487363607E-13</v>
      </c>
    </row>
    <row r="156" spans="29:31" ht="36" customHeight="1">
      <c r="AC156" s="173">
        <v>114</v>
      </c>
      <c r="AD156" s="174" cm="1">
        <f t="array" ref="AD156">SUMPRODUCT(($M$44:$M$74&lt;=AC156)*($N$44:$N$74&gt;=AC156)*($Q$44:$Q$74))</f>
        <v>2.5579538487363607E-13</v>
      </c>
      <c r="AE156" s="174">
        <f t="shared" si="11"/>
        <v>2.5579538487363607E-13</v>
      </c>
    </row>
    <row r="157" spans="29:31" ht="36" customHeight="1">
      <c r="AC157" s="173">
        <v>115</v>
      </c>
      <c r="AD157" s="174" cm="1">
        <f t="array" ref="AD157">SUMPRODUCT(($M$44:$M$74&lt;=AC157)*($N$44:$N$74&gt;=AC157)*($Q$44:$Q$74))</f>
        <v>2.5579538487363607E-13</v>
      </c>
      <c r="AE157" s="174">
        <f t="shared" si="11"/>
        <v>2.5579538487363607E-13</v>
      </c>
    </row>
    <row r="158" spans="29:31" ht="36" customHeight="1">
      <c r="AC158" s="173">
        <v>116</v>
      </c>
      <c r="AD158" s="174" cm="1">
        <f t="array" ref="AD158">SUMPRODUCT(($M$44:$M$74&lt;=AC158)*($N$44:$N$74&gt;=AC158)*($Q$44:$Q$74))</f>
        <v>2.5579538487363607E-13</v>
      </c>
      <c r="AE158" s="174">
        <f t="shared" si="11"/>
        <v>2.5579538487363607E-13</v>
      </c>
    </row>
    <row r="159" spans="29:31" ht="36" customHeight="1">
      <c r="AC159" s="173">
        <v>117</v>
      </c>
      <c r="AD159" s="174" cm="1">
        <f t="array" ref="AD159">SUMPRODUCT(($M$44:$M$74&lt;=AC159)*($N$44:$N$74&gt;=AC159)*($Q$44:$Q$74))</f>
        <v>2.5579538487363607E-13</v>
      </c>
      <c r="AE159" s="174">
        <f t="shared" si="11"/>
        <v>2.5579538487363607E-13</v>
      </c>
    </row>
    <row r="160" spans="29:31" ht="36" customHeight="1">
      <c r="AC160" s="173">
        <v>118</v>
      </c>
      <c r="AD160" s="174" cm="1">
        <f t="array" ref="AD160">SUMPRODUCT(($M$44:$M$74&lt;=AC160)*($N$44:$N$74&gt;=AC160)*($Q$44:$Q$74))</f>
        <v>2.5579538487363607E-13</v>
      </c>
      <c r="AE160" s="174">
        <f t="shared" si="11"/>
        <v>2.5579538487363607E-13</v>
      </c>
    </row>
    <row r="161" spans="29:31" ht="36" customHeight="1">
      <c r="AC161" s="173">
        <v>119</v>
      </c>
      <c r="AD161" s="174" cm="1">
        <f t="array" ref="AD161">SUMPRODUCT(($M$44:$M$74&lt;=AC161)*($N$44:$N$74&gt;=AC161)*($Q$44:$Q$74))</f>
        <v>2.5579538487363607E-13</v>
      </c>
      <c r="AE161" s="174">
        <f t="shared" si="11"/>
        <v>2.5579538487363607E-13</v>
      </c>
    </row>
    <row r="162" spans="29:31" ht="36" customHeight="1">
      <c r="AC162" s="173">
        <v>120</v>
      </c>
      <c r="AD162" s="174" cm="1">
        <f t="array" ref="AD162">SUMPRODUCT(($M$44:$M$74&lt;=AC162)*($N$44:$N$74&gt;=AC162)*($Q$44:$Q$74))</f>
        <v>2.5579538487363607E-13</v>
      </c>
      <c r="AE162" s="174">
        <f t="shared" si="11"/>
        <v>2.5579538487363607E-13</v>
      </c>
    </row>
    <row r="163" spans="29:31" ht="36" customHeight="1">
      <c r="AC163" s="173">
        <v>121</v>
      </c>
      <c r="AD163" s="174" cm="1">
        <f t="array" ref="AD163">SUMPRODUCT(($M$44:$M$74&lt;=AC163)*($N$44:$N$74&gt;=AC163)*($Q$44:$Q$74))</f>
        <v>2.4158453015843406E-13</v>
      </c>
      <c r="AE163" s="174">
        <f t="shared" si="11"/>
        <v>2.4158453015843406E-13</v>
      </c>
    </row>
    <row r="164" spans="29:31" ht="36" customHeight="1">
      <c r="AC164" s="173">
        <v>122</v>
      </c>
      <c r="AD164" s="174" cm="1">
        <f t="array" ref="AD164">SUMPRODUCT(($M$44:$M$74&lt;=AC164)*($N$44:$N$74&gt;=AC164)*($Q$44:$Q$74))</f>
        <v>2.4158453015843406E-13</v>
      </c>
      <c r="AE164" s="174">
        <f t="shared" si="11"/>
        <v>2.4158453015843406E-13</v>
      </c>
    </row>
    <row r="165" spans="29:31" ht="36" customHeight="1">
      <c r="AC165" s="173">
        <v>123</v>
      </c>
      <c r="AD165" s="174" cm="1">
        <f t="array" ref="AD165">SUMPRODUCT(($M$44:$M$74&lt;=AC165)*($N$44:$N$74&gt;=AC165)*($Q$44:$Q$74))</f>
        <v>2.4158453015843406E-13</v>
      </c>
      <c r="AE165" s="174">
        <f t="shared" si="11"/>
        <v>2.4158453015843406E-13</v>
      </c>
    </row>
    <row r="166" spans="29:31" ht="36" customHeight="1">
      <c r="AC166" s="173">
        <v>124</v>
      </c>
      <c r="AD166" s="174" cm="1">
        <f t="array" ref="AD166">SUMPRODUCT(($M$44:$M$74&lt;=AC166)*($N$44:$N$74&gt;=AC166)*($Q$44:$Q$74))</f>
        <v>2.4158453015843406E-13</v>
      </c>
      <c r="AE166" s="174">
        <f t="shared" si="11"/>
        <v>2.4158453015843406E-13</v>
      </c>
    </row>
    <row r="167" spans="29:31" ht="36" customHeight="1">
      <c r="AC167" s="173">
        <v>125</v>
      </c>
      <c r="AD167" s="174" cm="1">
        <f t="array" ref="AD167">SUMPRODUCT(($M$44:$M$74&lt;=AC167)*($N$44:$N$74&gt;=AC167)*($Q$44:$Q$74))</f>
        <v>2.4158453015843406E-13</v>
      </c>
      <c r="AE167" s="174">
        <f t="shared" si="11"/>
        <v>2.4158453015843406E-13</v>
      </c>
    </row>
    <row r="168" spans="29:31" ht="36" customHeight="1">
      <c r="AC168" s="173">
        <v>126</v>
      </c>
      <c r="AD168" s="174" cm="1">
        <f t="array" ref="AD168">SUMPRODUCT(($M$44:$M$74&lt;=AC168)*($N$44:$N$74&gt;=AC168)*($Q$44:$Q$74))</f>
        <v>2.4158453015843406E-13</v>
      </c>
      <c r="AE168" s="174">
        <f t="shared" si="11"/>
        <v>2.4158453015843406E-13</v>
      </c>
    </row>
    <row r="169" spans="29:31" ht="36" customHeight="1">
      <c r="AC169" s="173">
        <v>127</v>
      </c>
      <c r="AD169" s="174" cm="1">
        <f t="array" ref="AD169">SUMPRODUCT(($M$44:$M$74&lt;=AC169)*($N$44:$N$74&gt;=AC169)*($Q$44:$Q$74))</f>
        <v>2.4158453015843406E-13</v>
      </c>
      <c r="AE169" s="174">
        <f t="shared" si="11"/>
        <v>2.4158453015843406E-13</v>
      </c>
    </row>
    <row r="170" spans="29:31" ht="36" customHeight="1">
      <c r="AC170" s="173">
        <v>128</v>
      </c>
      <c r="AD170" s="174" cm="1">
        <f t="array" ref="AD170">SUMPRODUCT(($M$44:$M$74&lt;=AC170)*($N$44:$N$74&gt;=AC170)*($Q$44:$Q$74))</f>
        <v>2.4158453015843406E-13</v>
      </c>
      <c r="AE170" s="174">
        <f t="shared" si="11"/>
        <v>2.4158453015843406E-13</v>
      </c>
    </row>
    <row r="171" spans="29:31" ht="36" customHeight="1">
      <c r="AC171" s="173">
        <v>129</v>
      </c>
      <c r="AD171" s="174" cm="1">
        <f t="array" ref="AD171">SUMPRODUCT(($M$44:$M$74&lt;=AC171)*($N$44:$N$74&gt;=AC171)*($Q$44:$Q$74))</f>
        <v>2.4158453015843406E-13</v>
      </c>
      <c r="AE171" s="174">
        <f t="shared" si="11"/>
        <v>2.4158453015843406E-13</v>
      </c>
    </row>
    <row r="172" spans="29:31" ht="36" customHeight="1">
      <c r="AC172" s="173">
        <v>130</v>
      </c>
      <c r="AD172" s="174" cm="1">
        <f t="array" ref="AD172">SUMPRODUCT(($M$44:$M$74&lt;=AC172)*($N$44:$N$74&gt;=AC172)*($Q$44:$Q$74))</f>
        <v>2.4158453015843406E-13</v>
      </c>
      <c r="AE172" s="174">
        <f t="shared" si="11"/>
        <v>2.4158453015843406E-13</v>
      </c>
    </row>
    <row r="173" spans="29:31" ht="36" customHeight="1">
      <c r="AC173" s="173">
        <v>131</v>
      </c>
      <c r="AD173" s="174" cm="1">
        <f t="array" ref="AD173">SUMPRODUCT(($M$44:$M$74&lt;=AC173)*($N$44:$N$74&gt;=AC173)*($Q$44:$Q$74))</f>
        <v>2.4158453015843406E-13</v>
      </c>
      <c r="AE173" s="174">
        <f t="shared" si="11"/>
        <v>2.4158453015843406E-13</v>
      </c>
    </row>
    <row r="174" spans="29:31" ht="36" customHeight="1">
      <c r="AC174" s="173">
        <v>132</v>
      </c>
      <c r="AD174" s="174" cm="1">
        <f t="array" ref="AD174">SUMPRODUCT(($M$44:$M$74&lt;=AC174)*($N$44:$N$74&gt;=AC174)*($Q$44:$Q$74))</f>
        <v>2.4158453015843406E-13</v>
      </c>
      <c r="AE174" s="174">
        <f t="shared" si="11"/>
        <v>2.4158453015843406E-13</v>
      </c>
    </row>
    <row r="175" spans="29:31" ht="36" customHeight="1">
      <c r="AC175" s="173">
        <v>133</v>
      </c>
      <c r="AD175" s="174" cm="1">
        <f t="array" ref="AD175">SUMPRODUCT(($M$44:$M$74&lt;=AC175)*($N$44:$N$74&gt;=AC175)*($Q$44:$Q$74))</f>
        <v>2.4158453015843406E-13</v>
      </c>
      <c r="AE175" s="174">
        <f t="shared" si="11"/>
        <v>2.4158453015843406E-13</v>
      </c>
    </row>
    <row r="176" spans="29:31" ht="36" customHeight="1">
      <c r="AC176" s="173">
        <v>134</v>
      </c>
      <c r="AD176" s="174" cm="1">
        <f t="array" ref="AD176">SUMPRODUCT(($M$44:$M$74&lt;=AC176)*($N$44:$N$74&gt;=AC176)*($Q$44:$Q$74))</f>
        <v>2.4158453015843406E-13</v>
      </c>
      <c r="AE176" s="174">
        <f t="shared" si="11"/>
        <v>2.4158453015843406E-13</v>
      </c>
    </row>
    <row r="177" spans="29:31" ht="36" customHeight="1">
      <c r="AC177" s="173">
        <v>135</v>
      </c>
      <c r="AD177" s="174" cm="1">
        <f t="array" ref="AD177">SUMPRODUCT(($M$44:$M$74&lt;=AC177)*($N$44:$N$74&gt;=AC177)*($Q$44:$Q$74))</f>
        <v>2.4158453015843406E-13</v>
      </c>
      <c r="AE177" s="174">
        <f t="shared" si="11"/>
        <v>2.4158453015843406E-13</v>
      </c>
    </row>
    <row r="178" spans="29:31" ht="36" customHeight="1">
      <c r="AC178" s="173">
        <v>136</v>
      </c>
      <c r="AD178" s="174" cm="1">
        <f t="array" ref="AD178">SUMPRODUCT(($M$44:$M$74&lt;=AC178)*($N$44:$N$74&gt;=AC178)*($Q$44:$Q$74))</f>
        <v>2.4158453015843406E-13</v>
      </c>
      <c r="AE178" s="174">
        <f t="shared" si="11"/>
        <v>2.4158453015843406E-13</v>
      </c>
    </row>
    <row r="179" spans="29:31" ht="36" customHeight="1">
      <c r="AC179" s="173">
        <v>137</v>
      </c>
      <c r="AD179" s="174" cm="1">
        <f t="array" ref="AD179">SUMPRODUCT(($M$44:$M$74&lt;=AC179)*($N$44:$N$74&gt;=AC179)*($Q$44:$Q$74))</f>
        <v>2.4158453015843406E-13</v>
      </c>
      <c r="AE179" s="174">
        <f t="shared" si="11"/>
        <v>2.4158453015843406E-13</v>
      </c>
    </row>
    <row r="180" spans="29:31" ht="36" customHeight="1">
      <c r="AC180" s="173">
        <v>138</v>
      </c>
      <c r="AD180" s="174" cm="1">
        <f t="array" ref="AD180">SUMPRODUCT(($M$44:$M$74&lt;=AC180)*($N$44:$N$74&gt;=AC180)*($Q$44:$Q$74))</f>
        <v>2.4158453015843406E-13</v>
      </c>
      <c r="AE180" s="174">
        <f t="shared" si="11"/>
        <v>2.4158453015843406E-13</v>
      </c>
    </row>
    <row r="181" spans="29:31" ht="36" customHeight="1">
      <c r="AC181" s="173">
        <v>139</v>
      </c>
      <c r="AD181" s="174" cm="1">
        <f t="array" ref="AD181">SUMPRODUCT(($M$44:$M$74&lt;=AC181)*($N$44:$N$74&gt;=AC181)*($Q$44:$Q$74))</f>
        <v>2.4158453015843406E-13</v>
      </c>
      <c r="AE181" s="174">
        <f t="shared" ref="AE181:AE222" si="12">AD181</f>
        <v>2.4158453015843406E-13</v>
      </c>
    </row>
    <row r="182" spans="29:31" ht="36" customHeight="1">
      <c r="AC182" s="173">
        <v>140</v>
      </c>
      <c r="AD182" s="174" cm="1">
        <f t="array" ref="AD182">SUMPRODUCT(($M$44:$M$74&lt;=AC182)*($N$44:$N$74&gt;=AC182)*($Q$44:$Q$74))</f>
        <v>2.4158453015843406E-13</v>
      </c>
      <c r="AE182" s="174">
        <f t="shared" si="12"/>
        <v>2.4158453015843406E-13</v>
      </c>
    </row>
    <row r="183" spans="29:31" ht="36" customHeight="1">
      <c r="AC183" s="173">
        <v>141</v>
      </c>
      <c r="AD183" s="174" cm="1">
        <f t="array" ref="AD183">SUMPRODUCT(($M$44:$M$74&lt;=AC183)*($N$44:$N$74&gt;=AC183)*($Q$44:$Q$74))</f>
        <v>2.4158453015843406E-13</v>
      </c>
      <c r="AE183" s="174">
        <f t="shared" si="12"/>
        <v>2.4158453015843406E-13</v>
      </c>
    </row>
    <row r="184" spans="29:31" ht="36" customHeight="1">
      <c r="AC184" s="173">
        <v>142</v>
      </c>
      <c r="AD184" s="174" cm="1">
        <f t="array" ref="AD184">SUMPRODUCT(($M$44:$M$74&lt;=AC184)*($N$44:$N$74&gt;=AC184)*($Q$44:$Q$74))</f>
        <v>2.4158453015843406E-13</v>
      </c>
      <c r="AE184" s="174">
        <f t="shared" si="12"/>
        <v>2.4158453015843406E-13</v>
      </c>
    </row>
    <row r="185" spans="29:31" ht="36" customHeight="1">
      <c r="AC185" s="173">
        <v>143</v>
      </c>
      <c r="AD185" s="174" cm="1">
        <f t="array" ref="AD185">SUMPRODUCT(($M$44:$M$74&lt;=AC185)*($N$44:$N$74&gt;=AC185)*($Q$44:$Q$74))</f>
        <v>2.4158453015843406E-13</v>
      </c>
      <c r="AE185" s="174">
        <f t="shared" si="12"/>
        <v>2.4158453015843406E-13</v>
      </c>
    </row>
    <row r="186" spans="29:31" ht="36" customHeight="1">
      <c r="AC186" s="173">
        <v>144</v>
      </c>
      <c r="AD186" s="174" cm="1">
        <f t="array" ref="AD186">SUMPRODUCT(($M$44:$M$74&lt;=AC186)*($N$44:$N$74&gt;=AC186)*($Q$44:$Q$74))</f>
        <v>2.4158453015843406E-13</v>
      </c>
      <c r="AE186" s="174">
        <f t="shared" si="12"/>
        <v>2.4158453015843406E-13</v>
      </c>
    </row>
    <row r="187" spans="29:31" ht="36" customHeight="1">
      <c r="AC187" s="173">
        <v>145</v>
      </c>
      <c r="AD187" s="174" cm="1">
        <f t="array" ref="AD187">SUMPRODUCT(($M$44:$M$74&lt;=AC187)*($N$44:$N$74&gt;=AC187)*($Q$44:$Q$74))</f>
        <v>2.1316282072803006E-13</v>
      </c>
      <c r="AE187" s="174">
        <f t="shared" si="12"/>
        <v>2.1316282072803006E-13</v>
      </c>
    </row>
    <row r="188" spans="29:31" ht="36" customHeight="1">
      <c r="AC188" s="173">
        <v>146</v>
      </c>
      <c r="AD188" s="174" cm="1">
        <f t="array" ref="AD188">SUMPRODUCT(($M$44:$M$74&lt;=AC188)*($N$44:$N$74&gt;=AC188)*($Q$44:$Q$74))</f>
        <v>2.1316282072803006E-13</v>
      </c>
      <c r="AE188" s="174">
        <f t="shared" si="12"/>
        <v>2.1316282072803006E-13</v>
      </c>
    </row>
    <row r="189" spans="29:31" ht="36" customHeight="1">
      <c r="AC189" s="173">
        <v>147</v>
      </c>
      <c r="AD189" s="174" cm="1">
        <f t="array" ref="AD189">SUMPRODUCT(($M$44:$M$74&lt;=AC189)*($N$44:$N$74&gt;=AC189)*($Q$44:$Q$74))</f>
        <v>2.1316282072803006E-13</v>
      </c>
      <c r="AE189" s="174">
        <f t="shared" si="12"/>
        <v>2.1316282072803006E-13</v>
      </c>
    </row>
    <row r="190" spans="29:31" ht="36" customHeight="1">
      <c r="AC190" s="173">
        <v>148</v>
      </c>
      <c r="AD190" s="174" cm="1">
        <f t="array" ref="AD190">SUMPRODUCT(($M$44:$M$74&lt;=AC190)*($N$44:$N$74&gt;=AC190)*($Q$44:$Q$74))</f>
        <v>2.1316282072803006E-13</v>
      </c>
      <c r="AE190" s="174">
        <f t="shared" si="12"/>
        <v>2.1316282072803006E-13</v>
      </c>
    </row>
    <row r="191" spans="29:31" ht="36" customHeight="1">
      <c r="AC191" s="173">
        <v>149</v>
      </c>
      <c r="AD191" s="174" cm="1">
        <f t="array" ref="AD191">SUMPRODUCT(($M$44:$M$74&lt;=AC191)*($N$44:$N$74&gt;=AC191)*($Q$44:$Q$74))</f>
        <v>2.1316282072803006E-13</v>
      </c>
      <c r="AE191" s="174">
        <f t="shared" si="12"/>
        <v>2.1316282072803006E-13</v>
      </c>
    </row>
    <row r="192" spans="29:31" ht="36" customHeight="1">
      <c r="AC192" s="173">
        <v>150</v>
      </c>
      <c r="AD192" s="174" cm="1">
        <f t="array" ref="AD192">SUMPRODUCT(($M$44:$M$74&lt;=AC192)*($N$44:$N$74&gt;=AC192)*($Q$44:$Q$74))</f>
        <v>2.1316282072803006E-13</v>
      </c>
      <c r="AE192" s="174">
        <f t="shared" si="12"/>
        <v>2.1316282072803006E-13</v>
      </c>
    </row>
    <row r="193" spans="29:31" ht="36" customHeight="1">
      <c r="AC193" s="173">
        <v>151</v>
      </c>
      <c r="AD193" s="174" cm="1">
        <f t="array" ref="AD193">SUMPRODUCT(($M$44:$M$74&lt;=AC193)*($N$44:$N$74&gt;=AC193)*($Q$44:$Q$74))</f>
        <v>2.1316282072803006E-13</v>
      </c>
      <c r="AE193" s="174">
        <f t="shared" si="12"/>
        <v>2.1316282072803006E-13</v>
      </c>
    </row>
    <row r="194" spans="29:31" ht="36" customHeight="1">
      <c r="AC194" s="173">
        <v>152</v>
      </c>
      <c r="AD194" s="174" cm="1">
        <f t="array" ref="AD194">SUMPRODUCT(($M$44:$M$74&lt;=AC194)*($N$44:$N$74&gt;=AC194)*($Q$44:$Q$74))</f>
        <v>2.1316282072803006E-13</v>
      </c>
      <c r="AE194" s="174">
        <f t="shared" si="12"/>
        <v>2.1316282072803006E-13</v>
      </c>
    </row>
    <row r="195" spans="29:31" ht="36" customHeight="1">
      <c r="AC195" s="173">
        <v>153</v>
      </c>
      <c r="AD195" s="174" cm="1">
        <f t="array" ref="AD195">SUMPRODUCT(($M$44:$M$74&lt;=AC195)*($N$44:$N$74&gt;=AC195)*($Q$44:$Q$74))</f>
        <v>2.1316282072803006E-13</v>
      </c>
      <c r="AE195" s="174">
        <f t="shared" si="12"/>
        <v>2.1316282072803006E-13</v>
      </c>
    </row>
    <row r="196" spans="29:31" ht="36" customHeight="1">
      <c r="AC196" s="173">
        <v>154</v>
      </c>
      <c r="AD196" s="174" cm="1">
        <f t="array" ref="AD196">SUMPRODUCT(($M$44:$M$74&lt;=AC196)*($N$44:$N$74&gt;=AC196)*($Q$44:$Q$74))</f>
        <v>2.1316282072803006E-13</v>
      </c>
      <c r="AE196" s="174">
        <f t="shared" si="12"/>
        <v>2.1316282072803006E-13</v>
      </c>
    </row>
    <row r="197" spans="29:31" ht="36" customHeight="1">
      <c r="AC197" s="173">
        <v>155</v>
      </c>
      <c r="AD197" s="174" cm="1">
        <f t="array" ref="AD197">SUMPRODUCT(($M$44:$M$74&lt;=AC197)*($N$44:$N$74&gt;=AC197)*($Q$44:$Q$74))</f>
        <v>2.1316282072803006E-13</v>
      </c>
      <c r="AE197" s="174">
        <f t="shared" si="12"/>
        <v>2.1316282072803006E-13</v>
      </c>
    </row>
    <row r="198" spans="29:31" ht="36" customHeight="1">
      <c r="AC198" s="173">
        <v>156</v>
      </c>
      <c r="AD198" s="174" cm="1">
        <f t="array" ref="AD198">SUMPRODUCT(($M$44:$M$74&lt;=AC198)*($N$44:$N$74&gt;=AC198)*($Q$44:$Q$74))</f>
        <v>2.1316282072803006E-13</v>
      </c>
      <c r="AE198" s="174">
        <f t="shared" si="12"/>
        <v>2.1316282072803006E-13</v>
      </c>
    </row>
    <row r="199" spans="29:31" ht="36" customHeight="1">
      <c r="AC199" s="173">
        <v>157</v>
      </c>
      <c r="AD199" s="174" cm="1">
        <f t="array" ref="AD199">SUMPRODUCT(($M$44:$M$74&lt;=AC199)*($N$44:$N$74&gt;=AC199)*($Q$44:$Q$74))</f>
        <v>1.8474111129762605E-13</v>
      </c>
      <c r="AE199" s="174">
        <f t="shared" si="12"/>
        <v>1.8474111129762605E-13</v>
      </c>
    </row>
    <row r="200" spans="29:31" ht="36" customHeight="1">
      <c r="AC200" s="173">
        <v>158</v>
      </c>
      <c r="AD200" s="174" cm="1">
        <f t="array" ref="AD200">SUMPRODUCT(($M$44:$M$74&lt;=AC200)*($N$44:$N$74&gt;=AC200)*($Q$44:$Q$74))</f>
        <v>1.8474111129762605E-13</v>
      </c>
      <c r="AE200" s="174">
        <f t="shared" si="12"/>
        <v>1.8474111129762605E-13</v>
      </c>
    </row>
    <row r="201" spans="29:31" ht="36" customHeight="1">
      <c r="AC201" s="173">
        <v>159</v>
      </c>
      <c r="AD201" s="174" cm="1">
        <f t="array" ref="AD201">SUMPRODUCT(($M$44:$M$74&lt;=AC201)*($N$44:$N$74&gt;=AC201)*($Q$44:$Q$74))</f>
        <v>1.8474111129762605E-13</v>
      </c>
      <c r="AE201" s="174">
        <f t="shared" si="12"/>
        <v>1.8474111129762605E-13</v>
      </c>
    </row>
    <row r="202" spans="29:31" ht="36" customHeight="1">
      <c r="AC202" s="173">
        <v>160</v>
      </c>
      <c r="AD202" s="174" cm="1">
        <f t="array" ref="AD202">SUMPRODUCT(($M$44:$M$74&lt;=AC202)*($N$44:$N$74&gt;=AC202)*($Q$44:$Q$74))</f>
        <v>1.8474111129762605E-13</v>
      </c>
      <c r="AE202" s="174">
        <f t="shared" si="12"/>
        <v>1.8474111129762605E-13</v>
      </c>
    </row>
    <row r="203" spans="29:31" ht="36" customHeight="1">
      <c r="AC203" s="173">
        <v>161</v>
      </c>
      <c r="AD203" s="174" cm="1">
        <f t="array" ref="AD203">SUMPRODUCT(($M$44:$M$74&lt;=AC203)*($N$44:$N$74&gt;=AC203)*($Q$44:$Q$74))</f>
        <v>1.8474111129762605E-13</v>
      </c>
      <c r="AE203" s="174">
        <f t="shared" si="12"/>
        <v>1.8474111129762605E-13</v>
      </c>
    </row>
    <row r="204" spans="29:31" ht="36" customHeight="1">
      <c r="AC204" s="173">
        <v>162</v>
      </c>
      <c r="AD204" s="174" cm="1">
        <f t="array" ref="AD204">SUMPRODUCT(($M$44:$M$74&lt;=AC204)*($N$44:$N$74&gt;=AC204)*($Q$44:$Q$74))</f>
        <v>1.8474111129762605E-13</v>
      </c>
      <c r="AE204" s="174">
        <f t="shared" si="12"/>
        <v>1.8474111129762605E-13</v>
      </c>
    </row>
    <row r="205" spans="29:31" ht="36" customHeight="1">
      <c r="AC205" s="173">
        <v>163</v>
      </c>
      <c r="AD205" s="174" cm="1">
        <f t="array" ref="AD205">SUMPRODUCT(($M$44:$M$74&lt;=AC205)*($N$44:$N$74&gt;=AC205)*($Q$44:$Q$74))</f>
        <v>1.8474111129762605E-13</v>
      </c>
      <c r="AE205" s="174">
        <f t="shared" si="12"/>
        <v>1.8474111129762605E-13</v>
      </c>
    </row>
    <row r="206" spans="29:31" ht="36" customHeight="1">
      <c r="AC206" s="173">
        <v>164</v>
      </c>
      <c r="AD206" s="174" cm="1">
        <f t="array" ref="AD206">SUMPRODUCT(($M$44:$M$74&lt;=AC206)*($N$44:$N$74&gt;=AC206)*($Q$44:$Q$74))</f>
        <v>1.8474111129762605E-13</v>
      </c>
      <c r="AE206" s="174">
        <f t="shared" si="12"/>
        <v>1.8474111129762605E-13</v>
      </c>
    </row>
    <row r="207" spans="29:31" ht="36" customHeight="1">
      <c r="AC207" s="173">
        <v>165</v>
      </c>
      <c r="AD207" s="174" cm="1">
        <f t="array" ref="AD207">SUMPRODUCT(($M$44:$M$74&lt;=AC207)*($N$44:$N$74&gt;=AC207)*($Q$44:$Q$74))</f>
        <v>1.8474111129762605E-13</v>
      </c>
      <c r="AE207" s="174">
        <f t="shared" si="12"/>
        <v>1.8474111129762605E-13</v>
      </c>
    </row>
    <row r="208" spans="29:31" ht="36" customHeight="1">
      <c r="AC208" s="173">
        <v>166</v>
      </c>
      <c r="AD208" s="174" cm="1">
        <f t="array" ref="AD208">SUMPRODUCT(($M$44:$M$74&lt;=AC208)*($N$44:$N$74&gt;=AC208)*($Q$44:$Q$74))</f>
        <v>1.8474111129762605E-13</v>
      </c>
      <c r="AE208" s="174">
        <f t="shared" si="12"/>
        <v>1.8474111129762605E-13</v>
      </c>
    </row>
    <row r="209" spans="29:31" ht="36" customHeight="1">
      <c r="AC209" s="173">
        <v>167</v>
      </c>
      <c r="AD209" s="174" cm="1">
        <f t="array" ref="AD209">SUMPRODUCT(($M$44:$M$74&lt;=AC209)*($N$44:$N$74&gt;=AC209)*($Q$44:$Q$74))</f>
        <v>1.8474111129762605E-13</v>
      </c>
      <c r="AE209" s="174">
        <f t="shared" si="12"/>
        <v>1.8474111129762605E-13</v>
      </c>
    </row>
    <row r="210" spans="29:31" ht="36" customHeight="1">
      <c r="AC210" s="173">
        <v>168</v>
      </c>
      <c r="AD210" s="174" cm="1">
        <f t="array" ref="AD210">SUMPRODUCT(($M$44:$M$74&lt;=AC210)*($N$44:$N$74&gt;=AC210)*($Q$44:$Q$74))</f>
        <v>1.8474111129762605E-13</v>
      </c>
      <c r="AE210" s="174">
        <f t="shared" si="12"/>
        <v>1.8474111129762605E-13</v>
      </c>
    </row>
    <row r="211" spans="29:31" ht="36" customHeight="1">
      <c r="AC211" s="173">
        <v>169</v>
      </c>
      <c r="AD211" s="174" cm="1">
        <f t="array" ref="AD211">SUMPRODUCT(($M$44:$M$74&lt;=AC211)*($N$44:$N$74&gt;=AC211)*($Q$44:$Q$74))</f>
        <v>1.8474111129762605E-13</v>
      </c>
      <c r="AE211" s="174">
        <f t="shared" si="12"/>
        <v>1.8474111129762605E-13</v>
      </c>
    </row>
    <row r="212" spans="29:31" ht="36" customHeight="1">
      <c r="AC212" s="173">
        <v>170</v>
      </c>
      <c r="AD212" s="174" cm="1">
        <f t="array" ref="AD212">SUMPRODUCT(($M$44:$M$74&lt;=AC212)*($N$44:$N$74&gt;=AC212)*($Q$44:$Q$74))</f>
        <v>1.8474111129762605E-13</v>
      </c>
      <c r="AE212" s="174">
        <f t="shared" si="12"/>
        <v>1.8474111129762605E-13</v>
      </c>
    </row>
    <row r="213" spans="29:31" ht="36" customHeight="1">
      <c r="AC213" s="173">
        <v>171</v>
      </c>
      <c r="AD213" s="174" cm="1">
        <f t="array" ref="AD213">SUMPRODUCT(($M$44:$M$74&lt;=AC213)*($N$44:$N$74&gt;=AC213)*($Q$44:$Q$74))</f>
        <v>1.8474111129762605E-13</v>
      </c>
      <c r="AE213" s="174">
        <f t="shared" si="12"/>
        <v>1.8474111129762605E-13</v>
      </c>
    </row>
    <row r="214" spans="29:31" ht="36" customHeight="1">
      <c r="AC214" s="173">
        <v>172</v>
      </c>
      <c r="AD214" s="174" cm="1">
        <f t="array" ref="AD214">SUMPRODUCT(($M$44:$M$74&lt;=AC214)*($N$44:$N$74&gt;=AC214)*($Q$44:$Q$74))</f>
        <v>1.8474111129762605E-13</v>
      </c>
      <c r="AE214" s="174">
        <f t="shared" si="12"/>
        <v>1.8474111129762605E-13</v>
      </c>
    </row>
    <row r="215" spans="29:31" ht="36" customHeight="1">
      <c r="AC215" s="173">
        <v>173</v>
      </c>
      <c r="AD215" s="174" cm="1">
        <f t="array" ref="AD215">SUMPRODUCT(($M$44:$M$74&lt;=AC215)*($N$44:$N$74&gt;=AC215)*($Q$44:$Q$74))</f>
        <v>1.8474111129762605E-13</v>
      </c>
      <c r="AE215" s="174">
        <f t="shared" si="12"/>
        <v>1.8474111129762605E-13</v>
      </c>
    </row>
    <row r="216" spans="29:31" ht="36" customHeight="1">
      <c r="AC216" s="173">
        <v>174</v>
      </c>
      <c r="AD216" s="174" cm="1">
        <f t="array" ref="AD216">SUMPRODUCT(($M$44:$M$74&lt;=AC216)*($N$44:$N$74&gt;=AC216)*($Q$44:$Q$74))</f>
        <v>1.8474111129762605E-13</v>
      </c>
      <c r="AE216" s="174">
        <f t="shared" si="12"/>
        <v>1.8474111129762605E-13</v>
      </c>
    </row>
    <row r="217" spans="29:31" ht="36" customHeight="1">
      <c r="AC217" s="173">
        <v>175</v>
      </c>
      <c r="AD217" s="174" cm="1">
        <f t="array" ref="AD217">SUMPRODUCT(($M$44:$M$74&lt;=AC217)*($N$44:$N$74&gt;=AC217)*($Q$44:$Q$74))</f>
        <v>1.8474111129762605E-13</v>
      </c>
      <c r="AE217" s="174">
        <f t="shared" si="12"/>
        <v>1.8474111129762605E-13</v>
      </c>
    </row>
    <row r="218" spans="29:31" ht="36" customHeight="1">
      <c r="AC218" s="173">
        <v>176</v>
      </c>
      <c r="AD218" s="174" cm="1">
        <f t="array" ref="AD218">SUMPRODUCT(($M$44:$M$74&lt;=AC218)*($N$44:$N$74&gt;=AC218)*($Q$44:$Q$74))</f>
        <v>1.8474111129762605E-13</v>
      </c>
      <c r="AE218" s="174">
        <f t="shared" si="12"/>
        <v>1.8474111129762605E-13</v>
      </c>
    </row>
    <row r="219" spans="29:31" ht="36" customHeight="1">
      <c r="AC219" s="173">
        <v>177</v>
      </c>
      <c r="AD219" s="174" cm="1">
        <f t="array" ref="AD219">SUMPRODUCT(($M$44:$M$74&lt;=AC219)*($N$44:$N$74&gt;=AC219)*($Q$44:$Q$74))</f>
        <v>1.8474111129762605E-13</v>
      </c>
      <c r="AE219" s="174">
        <f t="shared" si="12"/>
        <v>1.8474111129762605E-13</v>
      </c>
    </row>
    <row r="220" spans="29:31" ht="36" customHeight="1">
      <c r="AC220" s="173">
        <v>178</v>
      </c>
      <c r="AD220" s="174" cm="1">
        <f t="array" ref="AD220">SUMPRODUCT(($M$44:$M$74&lt;=AC220)*($N$44:$N$74&gt;=AC220)*($Q$44:$Q$74))</f>
        <v>1.8474111129762605E-13</v>
      </c>
      <c r="AE220" s="174">
        <f t="shared" si="12"/>
        <v>1.8474111129762605E-13</v>
      </c>
    </row>
    <row r="221" spans="29:31" ht="36" customHeight="1">
      <c r="AC221" s="173">
        <v>179</v>
      </c>
      <c r="AD221" s="174" cm="1">
        <f t="array" ref="AD221">SUMPRODUCT(($M$44:$M$74&lt;=AC221)*($N$44:$N$74&gt;=AC221)*($Q$44:$Q$74))</f>
        <v>1.8474111129762605E-13</v>
      </c>
      <c r="AE221" s="174">
        <f t="shared" si="12"/>
        <v>1.8474111129762605E-13</v>
      </c>
    </row>
    <row r="222" spans="29:31" ht="36" customHeight="1">
      <c r="AC222" s="173">
        <v>180</v>
      </c>
      <c r="AD222" s="174" cm="1">
        <f t="array" ref="AD222">SUMPRODUCT(($M$44:$M$74&lt;=AC222)*($N$44:$N$74&gt;=AC222)*($Q$44:$Q$74))</f>
        <v>1.8474111129762605E-13</v>
      </c>
      <c r="AE222" s="174">
        <f t="shared" si="12"/>
        <v>1.8474111129762605E-13</v>
      </c>
    </row>
    <row r="223" spans="29:31" ht="36" customHeight="1">
      <c r="AC223" s="43"/>
      <c r="AD223" s="159"/>
      <c r="AE223" s="159"/>
    </row>
    <row r="224" spans="29:31" ht="36" customHeight="1">
      <c r="AC224" s="43"/>
      <c r="AD224" s="159"/>
      <c r="AE224" s="159"/>
    </row>
    <row r="225" spans="29:31" ht="36" customHeight="1">
      <c r="AC225" s="43"/>
      <c r="AD225" s="159"/>
      <c r="AE225" s="159"/>
    </row>
    <row r="226" spans="29:31" ht="36" customHeight="1">
      <c r="AC226" s="43"/>
      <c r="AD226" s="159"/>
      <c r="AE226" s="159"/>
    </row>
    <row r="227" spans="29:31" ht="36" customHeight="1">
      <c r="AC227" s="43"/>
      <c r="AD227" s="159"/>
      <c r="AE227" s="159"/>
    </row>
    <row r="228" spans="29:31" ht="36" customHeight="1">
      <c r="AC228" s="43"/>
      <c r="AD228" s="159"/>
      <c r="AE228" s="159"/>
    </row>
    <row r="229" spans="29:31" ht="36" customHeight="1">
      <c r="AC229" s="43"/>
      <c r="AD229" s="159"/>
      <c r="AE229" s="159"/>
    </row>
    <row r="230" spans="29:31" ht="36" customHeight="1">
      <c r="AC230" s="43"/>
      <c r="AD230" s="159"/>
      <c r="AE230" s="159"/>
    </row>
    <row r="231" spans="29:31" ht="36" customHeight="1">
      <c r="AC231" s="43"/>
      <c r="AD231" s="159"/>
      <c r="AE231" s="159"/>
    </row>
    <row r="232" spans="29:31" ht="36" customHeight="1">
      <c r="AC232" s="43"/>
      <c r="AD232" s="159"/>
      <c r="AE232" s="159"/>
    </row>
    <row r="233" spans="29:31" ht="36" customHeight="1">
      <c r="AC233" s="43"/>
      <c r="AD233" s="159"/>
      <c r="AE233" s="159"/>
    </row>
    <row r="234" spans="29:31" ht="36" customHeight="1">
      <c r="AC234" s="43"/>
      <c r="AD234" s="159"/>
      <c r="AE234" s="159"/>
    </row>
    <row r="235" spans="29:31" ht="36" customHeight="1">
      <c r="AC235" s="43"/>
      <c r="AD235" s="159"/>
      <c r="AE235" s="159"/>
    </row>
    <row r="236" spans="29:31" ht="36" customHeight="1">
      <c r="AC236" s="43"/>
      <c r="AD236" s="159"/>
      <c r="AE236" s="159"/>
    </row>
    <row r="237" spans="29:31" ht="36" customHeight="1">
      <c r="AC237" s="43"/>
      <c r="AD237" s="159"/>
      <c r="AE237" s="159"/>
    </row>
    <row r="238" spans="29:31" ht="36" customHeight="1">
      <c r="AC238" s="36"/>
      <c r="AD238" s="159"/>
      <c r="AE238" s="159"/>
    </row>
    <row r="239" spans="29:31" ht="36" customHeight="1">
      <c r="AC239" s="36"/>
      <c r="AD239" s="159"/>
      <c r="AE239" s="159"/>
    </row>
    <row r="240" spans="29:31" ht="36" customHeight="1">
      <c r="AC240" s="36"/>
      <c r="AD240" s="159"/>
      <c r="AE240" s="159"/>
    </row>
    <row r="241" spans="29:31" ht="36" customHeight="1">
      <c r="AC241" s="36"/>
      <c r="AD241" s="159"/>
      <c r="AE241" s="159"/>
    </row>
    <row r="242" spans="29:31" ht="36" customHeight="1">
      <c r="AC242" s="36"/>
      <c r="AD242" s="159"/>
      <c r="AE242" s="159"/>
    </row>
  </sheetData>
  <sheetProtection selectLockedCells="1" selectUnlockedCells="1"/>
  <mergeCells count="51">
    <mergeCell ref="B3:C3"/>
    <mergeCell ref="B4:B5"/>
    <mergeCell ref="C4:C5"/>
    <mergeCell ref="D3:D5"/>
    <mergeCell ref="E3:E5"/>
    <mergeCell ref="M14:M15"/>
    <mergeCell ref="N14:N15"/>
    <mergeCell ref="O13:S14"/>
    <mergeCell ref="M13:N13"/>
    <mergeCell ref="M37:N37"/>
    <mergeCell ref="O37:O38"/>
    <mergeCell ref="P37:P38"/>
    <mergeCell ref="Q37:Q38"/>
    <mergeCell ref="U11:Y12"/>
    <mergeCell ref="R39:S39"/>
    <mergeCell ref="T37:T38"/>
    <mergeCell ref="R37:R38"/>
    <mergeCell ref="S37:S38"/>
    <mergeCell ref="U13:Y13"/>
    <mergeCell ref="J37:J39"/>
    <mergeCell ref="K37:K39"/>
    <mergeCell ref="L37:L39"/>
    <mergeCell ref="AD44:AE44"/>
    <mergeCell ref="AD43:AE43"/>
    <mergeCell ref="AC43:AC45"/>
    <mergeCell ref="L42:L43"/>
    <mergeCell ref="M42:M43"/>
    <mergeCell ref="O42:O43"/>
    <mergeCell ref="Q42:Q43"/>
    <mergeCell ref="P42:P43"/>
    <mergeCell ref="N42:N43"/>
    <mergeCell ref="Y37:AB37"/>
    <mergeCell ref="U37:X37"/>
    <mergeCell ref="A37:A38"/>
    <mergeCell ref="H37:H38"/>
    <mergeCell ref="I37:I38"/>
    <mergeCell ref="B17:C17"/>
    <mergeCell ref="B37:F38"/>
    <mergeCell ref="G37:G39"/>
    <mergeCell ref="H10:J10"/>
    <mergeCell ref="H11:J11"/>
    <mergeCell ref="H12:J12"/>
    <mergeCell ref="G9:J9"/>
    <mergeCell ref="B13:C13"/>
    <mergeCell ref="AK38:AN38"/>
    <mergeCell ref="AK37:AN37"/>
    <mergeCell ref="AC42:AE42"/>
    <mergeCell ref="AC37:AE37"/>
    <mergeCell ref="AJ37:AJ39"/>
    <mergeCell ref="AF37:AI37"/>
    <mergeCell ref="AF38:AI38"/>
  </mergeCells>
  <printOptions horizontalCentered="1" verticalCentered="1"/>
  <pageMargins left="0.19685039370078741" right="0.19685039370078741" top="0" bottom="0" header="0" footer="0"/>
  <pageSetup paperSize="9" scale="16" orientation="portrait" r:id="rId1"/>
  <headerFooter alignWithMargins="0">
    <oddHeader>&amp;R&amp;"Century Gothic,Gras"&amp;14cetelem - 10/05/2011</oddHeader>
    <oddFooter>&amp;R&amp;"Calibri"&amp;11&amp;K000000&amp;"Century Gothic,Gras"&amp;14&amp;P_x000D_&amp;1#&amp;"Calibri"&amp;10&amp;K0000FFClassification : 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tabColor theme="4" tint="0.39997558519241921"/>
  </sheetPr>
  <dimension ref="A1:L550"/>
  <sheetViews>
    <sheetView tabSelected="1" workbookViewId="0">
      <selection activeCell="E11" sqref="C11:E30"/>
    </sheetView>
  </sheetViews>
  <sheetFormatPr baseColWidth="10" defaultColWidth="11.453125" defaultRowHeight="13"/>
  <cols>
    <col min="1" max="1" width="5.81640625" style="2" bestFit="1" customWidth="1"/>
    <col min="2" max="2" width="16.7265625" style="26" bestFit="1" customWidth="1"/>
    <col min="3" max="4" width="16.7265625" style="26" customWidth="1"/>
    <col min="5" max="5" width="19.54296875" style="1" customWidth="1"/>
    <col min="6" max="6" width="19.26953125" style="1" customWidth="1"/>
    <col min="7" max="7" width="16.54296875" style="1" customWidth="1"/>
    <col min="8" max="8" width="6.1796875" style="1" customWidth="1"/>
    <col min="9" max="9" width="24" style="1" bestFit="1" customWidth="1"/>
    <col min="10" max="10" width="10.54296875" style="26" customWidth="1"/>
    <col min="11" max="11" width="24.54296875" style="1" bestFit="1" customWidth="1"/>
    <col min="12" max="12" width="14" style="1" customWidth="1"/>
    <col min="13" max="16384" width="11.453125" style="1"/>
  </cols>
  <sheetData>
    <row r="1" spans="1:12" ht="26">
      <c r="A1" s="347" t="s">
        <v>91</v>
      </c>
      <c r="B1" s="347"/>
      <c r="C1" s="347"/>
      <c r="D1" s="347"/>
      <c r="E1" s="347"/>
      <c r="F1" s="347"/>
      <c r="G1" s="347"/>
      <c r="H1" s="347"/>
      <c r="I1" s="347"/>
      <c r="J1" s="347"/>
    </row>
    <row r="2" spans="1:12" s="2" customFormat="1" ht="24" customHeight="1">
      <c r="B2" s="3"/>
      <c r="C2" s="31" t="s">
        <v>50</v>
      </c>
      <c r="D2" s="31" t="s">
        <v>51</v>
      </c>
      <c r="E2" s="31" t="s">
        <v>52</v>
      </c>
      <c r="F2" s="31" t="s">
        <v>53</v>
      </c>
      <c r="G2" s="31" t="s">
        <v>111</v>
      </c>
      <c r="I2" s="4" t="s">
        <v>112</v>
      </c>
      <c r="J2" s="5">
        <f>'Calcul '!Q26</f>
        <v>0</v>
      </c>
    </row>
    <row r="3" spans="1:12" s="11" customFormat="1">
      <c r="A3" s="6"/>
      <c r="B3" s="7" t="s">
        <v>113</v>
      </c>
      <c r="C3" s="231">
        <f>IF(OR(C10=0,C11=""),0,ROUND(IRR(C10:C210,0.00000001),8))</f>
        <v>1.487957E-2</v>
      </c>
      <c r="D3" s="231">
        <f>IF(OR(D10=0,D11=""),0,ROUND(IRR(D10:D210,0.00000001),8))</f>
        <v>0</v>
      </c>
      <c r="E3" s="231">
        <f>IF(OR(E10=0,E11=""),0,ROUND(IRR(E10:E210,0.00000001),8))</f>
        <v>1.4512290000000001E-2</v>
      </c>
      <c r="F3" s="231">
        <f>IF(OR(F10=0,F11=""),0,ROUND(IRR(F10:F210,0.00000001),8))</f>
        <v>1.4953869999999999E-2</v>
      </c>
      <c r="G3" s="231">
        <f>IF(OR(G10=0,G11=""),0,ROUND(IRR(G10:G210,0.00000001),8))</f>
        <v>1.175268E-2</v>
      </c>
      <c r="H3" s="8"/>
      <c r="I3" s="9" t="s">
        <v>114</v>
      </c>
      <c r="J3" s="10">
        <f>'Calcul '!R40</f>
        <v>60</v>
      </c>
    </row>
    <row r="4" spans="1:12">
      <c r="B4" s="12" t="s">
        <v>115</v>
      </c>
      <c r="C4" s="13">
        <f>ROUNDUP(((1+C3)^12-1),8)</f>
        <v>0.19391696</v>
      </c>
      <c r="D4" s="13">
        <f>ROUNDUP(((1+D3)^12-1),8)</f>
        <v>0</v>
      </c>
      <c r="E4" s="13">
        <f>ROUNDUP(((1+E3)^12-1),8)</f>
        <v>0.1887424</v>
      </c>
      <c r="F4" s="13">
        <f>ROUNDUP(((1+F3)^12-1),8)</f>
        <v>0.19496627</v>
      </c>
      <c r="G4" s="13">
        <f>ROUNDUP(((1+G3)^12-1),8)</f>
        <v>0.15051520999999998</v>
      </c>
      <c r="H4" s="14"/>
      <c r="I4" s="4" t="s">
        <v>116</v>
      </c>
      <c r="J4" s="5">
        <f>J2+J3</f>
        <v>60</v>
      </c>
    </row>
    <row r="5" spans="1:12" s="11" customFormat="1" ht="21.75" customHeight="1">
      <c r="A5" s="6"/>
      <c r="B5" s="15" t="s">
        <v>91</v>
      </c>
      <c r="C5" s="16">
        <f>IF(C3=0,0,ROUND(C4-$G$4,8))</f>
        <v>4.3401750000000003E-2</v>
      </c>
      <c r="D5" s="16">
        <f t="shared" ref="D5:G5" si="0">IF(D3=0,0,ROUND(D4-$G$4,8))</f>
        <v>0</v>
      </c>
      <c r="E5" s="16">
        <f t="shared" si="0"/>
        <v>3.8227190000000001E-2</v>
      </c>
      <c r="F5" s="16">
        <f t="shared" si="0"/>
        <v>4.4451060000000001E-2</v>
      </c>
      <c r="G5" s="16">
        <f t="shared" si="0"/>
        <v>0</v>
      </c>
      <c r="H5" s="17"/>
      <c r="I5" s="4" t="s">
        <v>117</v>
      </c>
      <c r="J5" s="18">
        <f>'Calcul '!S40</f>
        <v>67.400000000000006</v>
      </c>
    </row>
    <row r="6" spans="1:12" s="11" customFormat="1" ht="24.75" customHeight="1">
      <c r="A6" s="6"/>
      <c r="B6" s="6"/>
      <c r="C6" s="6"/>
      <c r="D6" s="6"/>
      <c r="E6" s="19"/>
      <c r="F6" s="19"/>
      <c r="G6" s="17"/>
      <c r="H6" s="20"/>
      <c r="I6" s="9" t="s">
        <v>118</v>
      </c>
      <c r="J6" s="18">
        <f>'Calcul '!AF40</f>
        <v>73.16</v>
      </c>
      <c r="K6" s="21"/>
      <c r="L6" s="22"/>
    </row>
    <row r="7" spans="1:12">
      <c r="A7" s="6"/>
      <c r="B7" s="6"/>
      <c r="C7" s="6"/>
      <c r="D7" s="6"/>
      <c r="E7" s="19"/>
      <c r="F7" s="19"/>
      <c r="G7" s="17"/>
      <c r="H7" s="23"/>
      <c r="I7" s="4" t="s">
        <v>119</v>
      </c>
      <c r="J7" s="18" t="str">
        <f>'Calcul '!AG40</f>
        <v/>
      </c>
    </row>
    <row r="8" spans="1:12" ht="18.5">
      <c r="A8" s="348" t="s">
        <v>120</v>
      </c>
      <c r="B8" s="348"/>
      <c r="C8" s="349" t="s">
        <v>121</v>
      </c>
      <c r="D8" s="350"/>
      <c r="E8" s="350"/>
      <c r="F8" s="350"/>
      <c r="G8" s="351"/>
      <c r="I8" s="9" t="s">
        <v>122</v>
      </c>
      <c r="J8" s="24">
        <f>'Calcul '!AI40</f>
        <v>72.47</v>
      </c>
    </row>
    <row r="9" spans="1:12" ht="15.5">
      <c r="A9" s="348"/>
      <c r="B9" s="348"/>
      <c r="C9" s="31" t="s">
        <v>50</v>
      </c>
      <c r="D9" s="31" t="s">
        <v>51</v>
      </c>
      <c r="E9" s="32" t="s">
        <v>52</v>
      </c>
      <c r="F9" s="32" t="s">
        <v>53</v>
      </c>
      <c r="G9" s="32" t="s">
        <v>123</v>
      </c>
      <c r="I9" s="4" t="s">
        <v>124</v>
      </c>
      <c r="J9" s="18">
        <f>'Calcul '!AH40</f>
        <v>73.3</v>
      </c>
    </row>
    <row r="10" spans="1:12">
      <c r="A10" s="348"/>
      <c r="B10" s="3" t="s">
        <v>125</v>
      </c>
      <c r="C10" s="27">
        <f>-'Calcul '!A40</f>
        <v>-2890</v>
      </c>
      <c r="D10" s="27">
        <f>C10</f>
        <v>-2890</v>
      </c>
      <c r="E10" s="27">
        <f t="shared" ref="E10:F10" si="1">D10</f>
        <v>-2890</v>
      </c>
      <c r="F10" s="27">
        <f t="shared" si="1"/>
        <v>-2890</v>
      </c>
      <c r="G10" s="25">
        <f>F10</f>
        <v>-2890</v>
      </c>
    </row>
    <row r="11" spans="1:12">
      <c r="A11" s="3">
        <v>1</v>
      </c>
      <c r="B11" s="27">
        <f t="shared" ref="B11:B42" si="2">IF(A11&gt;$J$4,"",A11)</f>
        <v>1</v>
      </c>
      <c r="C11" s="9">
        <f>IF(B11="","",IF(B11&gt;$J$2,$J$6,0))</f>
        <v>73.16</v>
      </c>
      <c r="D11" s="9" t="str">
        <f>IF(B11="","",IF(B11&gt;$J$2,$J$7,0))</f>
        <v/>
      </c>
      <c r="E11" s="9">
        <f t="shared" ref="E11:E42" si="3">IF(B11="","",IF(B11&gt;$J$2,$J$8,0))</f>
        <v>72.47</v>
      </c>
      <c r="F11" s="9">
        <f t="shared" ref="F11:F42" si="4">IF(B11="","",IF(B11&gt;$J$2,$J$9,0))</f>
        <v>73.3</v>
      </c>
      <c r="G11" s="9">
        <f>IF(C11="","",IF(B11&gt;$J$2,$J$5,0))</f>
        <v>67.400000000000006</v>
      </c>
    </row>
    <row r="12" spans="1:12">
      <c r="A12" s="3">
        <v>2</v>
      </c>
      <c r="B12" s="27">
        <f t="shared" si="2"/>
        <v>2</v>
      </c>
      <c r="C12" s="9">
        <f t="shared" ref="C12:C75" si="5">IF(B12="","",IF(B12&gt;$J$2,$J$6,0))</f>
        <v>73.16</v>
      </c>
      <c r="D12" s="9" t="str">
        <f t="shared" ref="D12:D75" si="6">IF(B12="","",IF(B12&gt;$J$2,$J$7,0))</f>
        <v/>
      </c>
      <c r="E12" s="9">
        <f t="shared" si="3"/>
        <v>72.47</v>
      </c>
      <c r="F12" s="9">
        <f t="shared" si="4"/>
        <v>73.3</v>
      </c>
      <c r="G12" s="9">
        <f t="shared" ref="G12:G75" si="7">IF(C12="","",IF(B12&gt;$J$2,$J$5,0))</f>
        <v>67.400000000000006</v>
      </c>
      <c r="K12" s="28"/>
    </row>
    <row r="13" spans="1:12">
      <c r="A13" s="3">
        <v>3</v>
      </c>
      <c r="B13" s="27">
        <f t="shared" si="2"/>
        <v>3</v>
      </c>
      <c r="C13" s="9">
        <f t="shared" si="5"/>
        <v>73.16</v>
      </c>
      <c r="D13" s="9" t="str">
        <f t="shared" si="6"/>
        <v/>
      </c>
      <c r="E13" s="9">
        <f t="shared" si="3"/>
        <v>72.47</v>
      </c>
      <c r="F13" s="9">
        <f t="shared" si="4"/>
        <v>73.3</v>
      </c>
      <c r="G13" s="9">
        <f t="shared" si="7"/>
        <v>67.400000000000006</v>
      </c>
    </row>
    <row r="14" spans="1:12">
      <c r="A14" s="3">
        <v>4</v>
      </c>
      <c r="B14" s="27">
        <f t="shared" si="2"/>
        <v>4</v>
      </c>
      <c r="C14" s="9">
        <f t="shared" si="5"/>
        <v>73.16</v>
      </c>
      <c r="D14" s="9" t="str">
        <f t="shared" si="6"/>
        <v/>
      </c>
      <c r="E14" s="9">
        <f t="shared" si="3"/>
        <v>72.47</v>
      </c>
      <c r="F14" s="9">
        <f t="shared" si="4"/>
        <v>73.3</v>
      </c>
      <c r="G14" s="9">
        <f t="shared" si="7"/>
        <v>67.400000000000006</v>
      </c>
    </row>
    <row r="15" spans="1:12">
      <c r="A15" s="3">
        <v>5</v>
      </c>
      <c r="B15" s="27">
        <f t="shared" si="2"/>
        <v>5</v>
      </c>
      <c r="C15" s="9">
        <f t="shared" si="5"/>
        <v>73.16</v>
      </c>
      <c r="D15" s="9" t="str">
        <f t="shared" si="6"/>
        <v/>
      </c>
      <c r="E15" s="9">
        <f t="shared" si="3"/>
        <v>72.47</v>
      </c>
      <c r="F15" s="9">
        <f t="shared" si="4"/>
        <v>73.3</v>
      </c>
      <c r="G15" s="9">
        <f t="shared" si="7"/>
        <v>67.400000000000006</v>
      </c>
      <c r="K15" s="29"/>
    </row>
    <row r="16" spans="1:12">
      <c r="A16" s="3">
        <v>6</v>
      </c>
      <c r="B16" s="27">
        <f t="shared" si="2"/>
        <v>6</v>
      </c>
      <c r="C16" s="9">
        <f t="shared" si="5"/>
        <v>73.16</v>
      </c>
      <c r="D16" s="9" t="str">
        <f t="shared" si="6"/>
        <v/>
      </c>
      <c r="E16" s="9">
        <f t="shared" si="3"/>
        <v>72.47</v>
      </c>
      <c r="F16" s="9">
        <f t="shared" si="4"/>
        <v>73.3</v>
      </c>
      <c r="G16" s="9">
        <f t="shared" si="7"/>
        <v>67.400000000000006</v>
      </c>
    </row>
    <row r="17" spans="1:7">
      <c r="A17" s="3">
        <v>7</v>
      </c>
      <c r="B17" s="27">
        <f t="shared" si="2"/>
        <v>7</v>
      </c>
      <c r="C17" s="9">
        <f t="shared" si="5"/>
        <v>73.16</v>
      </c>
      <c r="D17" s="9" t="str">
        <f t="shared" si="6"/>
        <v/>
      </c>
      <c r="E17" s="9">
        <f t="shared" si="3"/>
        <v>72.47</v>
      </c>
      <c r="F17" s="9">
        <f t="shared" si="4"/>
        <v>73.3</v>
      </c>
      <c r="G17" s="9">
        <f t="shared" si="7"/>
        <v>67.400000000000006</v>
      </c>
    </row>
    <row r="18" spans="1:7">
      <c r="A18" s="3">
        <v>8</v>
      </c>
      <c r="B18" s="27">
        <f t="shared" si="2"/>
        <v>8</v>
      </c>
      <c r="C18" s="9">
        <f t="shared" si="5"/>
        <v>73.16</v>
      </c>
      <c r="D18" s="9" t="str">
        <f t="shared" si="6"/>
        <v/>
      </c>
      <c r="E18" s="9">
        <f t="shared" si="3"/>
        <v>72.47</v>
      </c>
      <c r="F18" s="9">
        <f t="shared" si="4"/>
        <v>73.3</v>
      </c>
      <c r="G18" s="9">
        <f t="shared" si="7"/>
        <v>67.400000000000006</v>
      </c>
    </row>
    <row r="19" spans="1:7">
      <c r="A19" s="3">
        <v>9</v>
      </c>
      <c r="B19" s="27">
        <f t="shared" si="2"/>
        <v>9</v>
      </c>
      <c r="C19" s="9">
        <f t="shared" si="5"/>
        <v>73.16</v>
      </c>
      <c r="D19" s="9" t="str">
        <f t="shared" si="6"/>
        <v/>
      </c>
      <c r="E19" s="9">
        <f t="shared" si="3"/>
        <v>72.47</v>
      </c>
      <c r="F19" s="9">
        <f t="shared" si="4"/>
        <v>73.3</v>
      </c>
      <c r="G19" s="9">
        <f t="shared" si="7"/>
        <v>67.400000000000006</v>
      </c>
    </row>
    <row r="20" spans="1:7">
      <c r="A20" s="3">
        <v>10</v>
      </c>
      <c r="B20" s="27">
        <f t="shared" si="2"/>
        <v>10</v>
      </c>
      <c r="C20" s="9">
        <f t="shared" si="5"/>
        <v>73.16</v>
      </c>
      <c r="D20" s="9" t="str">
        <f t="shared" si="6"/>
        <v/>
      </c>
      <c r="E20" s="9">
        <f t="shared" si="3"/>
        <v>72.47</v>
      </c>
      <c r="F20" s="9">
        <f t="shared" si="4"/>
        <v>73.3</v>
      </c>
      <c r="G20" s="9">
        <f t="shared" si="7"/>
        <v>67.400000000000006</v>
      </c>
    </row>
    <row r="21" spans="1:7">
      <c r="A21" s="3">
        <v>11</v>
      </c>
      <c r="B21" s="27">
        <f t="shared" si="2"/>
        <v>11</v>
      </c>
      <c r="C21" s="9">
        <f t="shared" si="5"/>
        <v>73.16</v>
      </c>
      <c r="D21" s="9" t="str">
        <f t="shared" si="6"/>
        <v/>
      </c>
      <c r="E21" s="9">
        <f t="shared" si="3"/>
        <v>72.47</v>
      </c>
      <c r="F21" s="9">
        <f t="shared" si="4"/>
        <v>73.3</v>
      </c>
      <c r="G21" s="9">
        <f t="shared" si="7"/>
        <v>67.400000000000006</v>
      </c>
    </row>
    <row r="22" spans="1:7">
      <c r="A22" s="3">
        <v>12</v>
      </c>
      <c r="B22" s="27">
        <f t="shared" si="2"/>
        <v>12</v>
      </c>
      <c r="C22" s="9">
        <f t="shared" si="5"/>
        <v>73.16</v>
      </c>
      <c r="D22" s="9" t="str">
        <f t="shared" si="6"/>
        <v/>
      </c>
      <c r="E22" s="9">
        <f t="shared" si="3"/>
        <v>72.47</v>
      </c>
      <c r="F22" s="9">
        <f t="shared" si="4"/>
        <v>73.3</v>
      </c>
      <c r="G22" s="9">
        <f t="shared" si="7"/>
        <v>67.400000000000006</v>
      </c>
    </row>
    <row r="23" spans="1:7">
      <c r="A23" s="3">
        <v>13</v>
      </c>
      <c r="B23" s="27">
        <f t="shared" si="2"/>
        <v>13</v>
      </c>
      <c r="C23" s="9">
        <f t="shared" si="5"/>
        <v>73.16</v>
      </c>
      <c r="D23" s="9" t="str">
        <f t="shared" si="6"/>
        <v/>
      </c>
      <c r="E23" s="9">
        <f t="shared" si="3"/>
        <v>72.47</v>
      </c>
      <c r="F23" s="9">
        <f t="shared" si="4"/>
        <v>73.3</v>
      </c>
      <c r="G23" s="9">
        <f t="shared" si="7"/>
        <v>67.400000000000006</v>
      </c>
    </row>
    <row r="24" spans="1:7">
      <c r="A24" s="3">
        <v>14</v>
      </c>
      <c r="B24" s="27">
        <f t="shared" si="2"/>
        <v>14</v>
      </c>
      <c r="C24" s="9">
        <f t="shared" si="5"/>
        <v>73.16</v>
      </c>
      <c r="D24" s="9" t="str">
        <f t="shared" si="6"/>
        <v/>
      </c>
      <c r="E24" s="9">
        <f t="shared" si="3"/>
        <v>72.47</v>
      </c>
      <c r="F24" s="9">
        <f t="shared" si="4"/>
        <v>73.3</v>
      </c>
      <c r="G24" s="9">
        <f t="shared" si="7"/>
        <v>67.400000000000006</v>
      </c>
    </row>
    <row r="25" spans="1:7">
      <c r="A25" s="3">
        <v>15</v>
      </c>
      <c r="B25" s="27">
        <f t="shared" si="2"/>
        <v>15</v>
      </c>
      <c r="C25" s="9">
        <f t="shared" si="5"/>
        <v>73.16</v>
      </c>
      <c r="D25" s="9" t="str">
        <f t="shared" si="6"/>
        <v/>
      </c>
      <c r="E25" s="9">
        <f t="shared" si="3"/>
        <v>72.47</v>
      </c>
      <c r="F25" s="9">
        <f t="shared" si="4"/>
        <v>73.3</v>
      </c>
      <c r="G25" s="9">
        <f t="shared" si="7"/>
        <v>67.400000000000006</v>
      </c>
    </row>
    <row r="26" spans="1:7">
      <c r="A26" s="3">
        <v>16</v>
      </c>
      <c r="B26" s="27">
        <f t="shared" si="2"/>
        <v>16</v>
      </c>
      <c r="C26" s="9">
        <f t="shared" si="5"/>
        <v>73.16</v>
      </c>
      <c r="D26" s="9" t="str">
        <f t="shared" si="6"/>
        <v/>
      </c>
      <c r="E26" s="9">
        <f t="shared" si="3"/>
        <v>72.47</v>
      </c>
      <c r="F26" s="9">
        <f t="shared" si="4"/>
        <v>73.3</v>
      </c>
      <c r="G26" s="9">
        <f t="shared" si="7"/>
        <v>67.400000000000006</v>
      </c>
    </row>
    <row r="27" spans="1:7">
      <c r="A27" s="3">
        <v>17</v>
      </c>
      <c r="B27" s="27">
        <f t="shared" si="2"/>
        <v>17</v>
      </c>
      <c r="C27" s="9">
        <f t="shared" si="5"/>
        <v>73.16</v>
      </c>
      <c r="D27" s="9" t="str">
        <f t="shared" si="6"/>
        <v/>
      </c>
      <c r="E27" s="9">
        <f t="shared" si="3"/>
        <v>72.47</v>
      </c>
      <c r="F27" s="9">
        <f t="shared" si="4"/>
        <v>73.3</v>
      </c>
      <c r="G27" s="9">
        <f t="shared" si="7"/>
        <v>67.400000000000006</v>
      </c>
    </row>
    <row r="28" spans="1:7">
      <c r="A28" s="3">
        <v>18</v>
      </c>
      <c r="B28" s="27">
        <f t="shared" si="2"/>
        <v>18</v>
      </c>
      <c r="C28" s="9">
        <f t="shared" si="5"/>
        <v>73.16</v>
      </c>
      <c r="D28" s="9" t="str">
        <f t="shared" si="6"/>
        <v/>
      </c>
      <c r="E28" s="9">
        <f t="shared" si="3"/>
        <v>72.47</v>
      </c>
      <c r="F28" s="9">
        <f t="shared" si="4"/>
        <v>73.3</v>
      </c>
      <c r="G28" s="9">
        <f t="shared" si="7"/>
        <v>67.400000000000006</v>
      </c>
    </row>
    <row r="29" spans="1:7">
      <c r="A29" s="3">
        <v>19</v>
      </c>
      <c r="B29" s="27">
        <f t="shared" si="2"/>
        <v>19</v>
      </c>
      <c r="C29" s="9">
        <f t="shared" si="5"/>
        <v>73.16</v>
      </c>
      <c r="D29" s="9" t="str">
        <f t="shared" si="6"/>
        <v/>
      </c>
      <c r="E29" s="9">
        <f t="shared" si="3"/>
        <v>72.47</v>
      </c>
      <c r="F29" s="9">
        <f t="shared" si="4"/>
        <v>73.3</v>
      </c>
      <c r="G29" s="9">
        <f t="shared" si="7"/>
        <v>67.400000000000006</v>
      </c>
    </row>
    <row r="30" spans="1:7">
      <c r="A30" s="3">
        <v>20</v>
      </c>
      <c r="B30" s="27">
        <f t="shared" si="2"/>
        <v>20</v>
      </c>
      <c r="C30" s="9">
        <f t="shared" si="5"/>
        <v>73.16</v>
      </c>
      <c r="D30" s="9" t="str">
        <f t="shared" si="6"/>
        <v/>
      </c>
      <c r="E30" s="9">
        <f t="shared" si="3"/>
        <v>72.47</v>
      </c>
      <c r="F30" s="9">
        <f t="shared" si="4"/>
        <v>73.3</v>
      </c>
      <c r="G30" s="9">
        <f t="shared" si="7"/>
        <v>67.400000000000006</v>
      </c>
    </row>
    <row r="31" spans="1:7">
      <c r="A31" s="3">
        <v>21</v>
      </c>
      <c r="B31" s="27">
        <f t="shared" si="2"/>
        <v>21</v>
      </c>
      <c r="C31" s="9">
        <f t="shared" si="5"/>
        <v>73.16</v>
      </c>
      <c r="D31" s="9" t="str">
        <f t="shared" si="6"/>
        <v/>
      </c>
      <c r="E31" s="9">
        <f t="shared" si="3"/>
        <v>72.47</v>
      </c>
      <c r="F31" s="9">
        <f t="shared" si="4"/>
        <v>73.3</v>
      </c>
      <c r="G31" s="9">
        <f t="shared" si="7"/>
        <v>67.400000000000006</v>
      </c>
    </row>
    <row r="32" spans="1:7">
      <c r="A32" s="3">
        <v>22</v>
      </c>
      <c r="B32" s="27">
        <f t="shared" si="2"/>
        <v>22</v>
      </c>
      <c r="C32" s="9">
        <f t="shared" si="5"/>
        <v>73.16</v>
      </c>
      <c r="D32" s="9" t="str">
        <f t="shared" si="6"/>
        <v/>
      </c>
      <c r="E32" s="9">
        <f t="shared" si="3"/>
        <v>72.47</v>
      </c>
      <c r="F32" s="9">
        <f t="shared" si="4"/>
        <v>73.3</v>
      </c>
      <c r="G32" s="9">
        <f t="shared" si="7"/>
        <v>67.400000000000006</v>
      </c>
    </row>
    <row r="33" spans="1:7">
      <c r="A33" s="3">
        <v>23</v>
      </c>
      <c r="B33" s="27">
        <f t="shared" si="2"/>
        <v>23</v>
      </c>
      <c r="C33" s="9">
        <f t="shared" si="5"/>
        <v>73.16</v>
      </c>
      <c r="D33" s="9" t="str">
        <f t="shared" si="6"/>
        <v/>
      </c>
      <c r="E33" s="9">
        <f t="shared" si="3"/>
        <v>72.47</v>
      </c>
      <c r="F33" s="9">
        <f t="shared" si="4"/>
        <v>73.3</v>
      </c>
      <c r="G33" s="9">
        <f t="shared" si="7"/>
        <v>67.400000000000006</v>
      </c>
    </row>
    <row r="34" spans="1:7">
      <c r="A34" s="3">
        <v>24</v>
      </c>
      <c r="B34" s="27">
        <f t="shared" si="2"/>
        <v>24</v>
      </c>
      <c r="C34" s="9">
        <f t="shared" si="5"/>
        <v>73.16</v>
      </c>
      <c r="D34" s="9" t="str">
        <f t="shared" si="6"/>
        <v/>
      </c>
      <c r="E34" s="9">
        <f t="shared" si="3"/>
        <v>72.47</v>
      </c>
      <c r="F34" s="9">
        <f t="shared" si="4"/>
        <v>73.3</v>
      </c>
      <c r="G34" s="9">
        <f t="shared" si="7"/>
        <v>67.400000000000006</v>
      </c>
    </row>
    <row r="35" spans="1:7">
      <c r="A35" s="3">
        <v>25</v>
      </c>
      <c r="B35" s="27">
        <f t="shared" si="2"/>
        <v>25</v>
      </c>
      <c r="C35" s="9">
        <f t="shared" si="5"/>
        <v>73.16</v>
      </c>
      <c r="D35" s="9" t="str">
        <f t="shared" si="6"/>
        <v/>
      </c>
      <c r="E35" s="9">
        <f t="shared" si="3"/>
        <v>72.47</v>
      </c>
      <c r="F35" s="9">
        <f t="shared" si="4"/>
        <v>73.3</v>
      </c>
      <c r="G35" s="9">
        <f t="shared" si="7"/>
        <v>67.400000000000006</v>
      </c>
    </row>
    <row r="36" spans="1:7">
      <c r="A36" s="3">
        <v>26</v>
      </c>
      <c r="B36" s="27">
        <f t="shared" si="2"/>
        <v>26</v>
      </c>
      <c r="C36" s="9">
        <f t="shared" si="5"/>
        <v>73.16</v>
      </c>
      <c r="D36" s="9" t="str">
        <f t="shared" si="6"/>
        <v/>
      </c>
      <c r="E36" s="9">
        <f t="shared" si="3"/>
        <v>72.47</v>
      </c>
      <c r="F36" s="9">
        <f t="shared" si="4"/>
        <v>73.3</v>
      </c>
      <c r="G36" s="9">
        <f t="shared" si="7"/>
        <v>67.400000000000006</v>
      </c>
    </row>
    <row r="37" spans="1:7">
      <c r="A37" s="3">
        <v>27</v>
      </c>
      <c r="B37" s="27">
        <f t="shared" si="2"/>
        <v>27</v>
      </c>
      <c r="C37" s="9">
        <f t="shared" si="5"/>
        <v>73.16</v>
      </c>
      <c r="D37" s="9" t="str">
        <f t="shared" si="6"/>
        <v/>
      </c>
      <c r="E37" s="9">
        <f t="shared" si="3"/>
        <v>72.47</v>
      </c>
      <c r="F37" s="9">
        <f t="shared" si="4"/>
        <v>73.3</v>
      </c>
      <c r="G37" s="9">
        <f t="shared" si="7"/>
        <v>67.400000000000006</v>
      </c>
    </row>
    <row r="38" spans="1:7">
      <c r="A38" s="3">
        <v>28</v>
      </c>
      <c r="B38" s="27">
        <f t="shared" si="2"/>
        <v>28</v>
      </c>
      <c r="C38" s="9">
        <f t="shared" si="5"/>
        <v>73.16</v>
      </c>
      <c r="D38" s="9" t="str">
        <f t="shared" si="6"/>
        <v/>
      </c>
      <c r="E38" s="9">
        <f t="shared" si="3"/>
        <v>72.47</v>
      </c>
      <c r="F38" s="9">
        <f t="shared" si="4"/>
        <v>73.3</v>
      </c>
      <c r="G38" s="9">
        <f t="shared" si="7"/>
        <v>67.400000000000006</v>
      </c>
    </row>
    <row r="39" spans="1:7">
      <c r="A39" s="3">
        <v>29</v>
      </c>
      <c r="B39" s="27">
        <f t="shared" si="2"/>
        <v>29</v>
      </c>
      <c r="C39" s="9">
        <f t="shared" si="5"/>
        <v>73.16</v>
      </c>
      <c r="D39" s="9" t="str">
        <f t="shared" si="6"/>
        <v/>
      </c>
      <c r="E39" s="9">
        <f t="shared" si="3"/>
        <v>72.47</v>
      </c>
      <c r="F39" s="9">
        <f t="shared" si="4"/>
        <v>73.3</v>
      </c>
      <c r="G39" s="9">
        <f t="shared" si="7"/>
        <v>67.400000000000006</v>
      </c>
    </row>
    <row r="40" spans="1:7">
      <c r="A40" s="3">
        <v>30</v>
      </c>
      <c r="B40" s="27">
        <f t="shared" si="2"/>
        <v>30</v>
      </c>
      <c r="C40" s="9">
        <f t="shared" si="5"/>
        <v>73.16</v>
      </c>
      <c r="D40" s="9" t="str">
        <f t="shared" si="6"/>
        <v/>
      </c>
      <c r="E40" s="9">
        <f t="shared" si="3"/>
        <v>72.47</v>
      </c>
      <c r="F40" s="9">
        <f t="shared" si="4"/>
        <v>73.3</v>
      </c>
      <c r="G40" s="9">
        <f t="shared" si="7"/>
        <v>67.400000000000006</v>
      </c>
    </row>
    <row r="41" spans="1:7">
      <c r="A41" s="3">
        <v>31</v>
      </c>
      <c r="B41" s="27">
        <f t="shared" si="2"/>
        <v>31</v>
      </c>
      <c r="C41" s="9">
        <f t="shared" si="5"/>
        <v>73.16</v>
      </c>
      <c r="D41" s="9" t="str">
        <f t="shared" si="6"/>
        <v/>
      </c>
      <c r="E41" s="9">
        <f t="shared" si="3"/>
        <v>72.47</v>
      </c>
      <c r="F41" s="9">
        <f t="shared" si="4"/>
        <v>73.3</v>
      </c>
      <c r="G41" s="9">
        <f t="shared" si="7"/>
        <v>67.400000000000006</v>
      </c>
    </row>
    <row r="42" spans="1:7">
      <c r="A42" s="3">
        <v>32</v>
      </c>
      <c r="B42" s="27">
        <f t="shared" si="2"/>
        <v>32</v>
      </c>
      <c r="C42" s="9">
        <f t="shared" si="5"/>
        <v>73.16</v>
      </c>
      <c r="D42" s="9" t="str">
        <f t="shared" si="6"/>
        <v/>
      </c>
      <c r="E42" s="9">
        <f t="shared" si="3"/>
        <v>72.47</v>
      </c>
      <c r="F42" s="9">
        <f t="shared" si="4"/>
        <v>73.3</v>
      </c>
      <c r="G42" s="9">
        <f t="shared" si="7"/>
        <v>67.400000000000006</v>
      </c>
    </row>
    <row r="43" spans="1:7">
      <c r="A43" s="3">
        <v>33</v>
      </c>
      <c r="B43" s="27">
        <f t="shared" ref="B43:B74" si="8">IF(A43&gt;$J$4,"",A43)</f>
        <v>33</v>
      </c>
      <c r="C43" s="9">
        <f t="shared" si="5"/>
        <v>73.16</v>
      </c>
      <c r="D43" s="9" t="str">
        <f t="shared" si="6"/>
        <v/>
      </c>
      <c r="E43" s="9">
        <f t="shared" ref="E43:E74" si="9">IF(B43="","",IF(B43&gt;$J$2,$J$8,0))</f>
        <v>72.47</v>
      </c>
      <c r="F43" s="9">
        <f t="shared" ref="F43:F74" si="10">IF(B43="","",IF(B43&gt;$J$2,$J$9,0))</f>
        <v>73.3</v>
      </c>
      <c r="G43" s="9">
        <f t="shared" si="7"/>
        <v>67.400000000000006</v>
      </c>
    </row>
    <row r="44" spans="1:7">
      <c r="A44" s="3">
        <v>34</v>
      </c>
      <c r="B44" s="27">
        <f t="shared" si="8"/>
        <v>34</v>
      </c>
      <c r="C44" s="9">
        <f t="shared" si="5"/>
        <v>73.16</v>
      </c>
      <c r="D44" s="9" t="str">
        <f t="shared" si="6"/>
        <v/>
      </c>
      <c r="E44" s="9">
        <f t="shared" si="9"/>
        <v>72.47</v>
      </c>
      <c r="F44" s="9">
        <f t="shared" si="10"/>
        <v>73.3</v>
      </c>
      <c r="G44" s="9">
        <f t="shared" si="7"/>
        <v>67.400000000000006</v>
      </c>
    </row>
    <row r="45" spans="1:7">
      <c r="A45" s="3">
        <v>35</v>
      </c>
      <c r="B45" s="27">
        <f t="shared" si="8"/>
        <v>35</v>
      </c>
      <c r="C45" s="9">
        <f t="shared" si="5"/>
        <v>73.16</v>
      </c>
      <c r="D45" s="9" t="str">
        <f t="shared" si="6"/>
        <v/>
      </c>
      <c r="E45" s="9">
        <f t="shared" si="9"/>
        <v>72.47</v>
      </c>
      <c r="F45" s="9">
        <f t="shared" si="10"/>
        <v>73.3</v>
      </c>
      <c r="G45" s="9">
        <f t="shared" si="7"/>
        <v>67.400000000000006</v>
      </c>
    </row>
    <row r="46" spans="1:7">
      <c r="A46" s="3">
        <v>36</v>
      </c>
      <c r="B46" s="27">
        <f t="shared" si="8"/>
        <v>36</v>
      </c>
      <c r="C46" s="9">
        <f t="shared" si="5"/>
        <v>73.16</v>
      </c>
      <c r="D46" s="9" t="str">
        <f t="shared" si="6"/>
        <v/>
      </c>
      <c r="E46" s="9">
        <f t="shared" si="9"/>
        <v>72.47</v>
      </c>
      <c r="F46" s="9">
        <f t="shared" si="10"/>
        <v>73.3</v>
      </c>
      <c r="G46" s="9">
        <f t="shared" si="7"/>
        <v>67.400000000000006</v>
      </c>
    </row>
    <row r="47" spans="1:7">
      <c r="A47" s="3">
        <v>37</v>
      </c>
      <c r="B47" s="27">
        <f t="shared" si="8"/>
        <v>37</v>
      </c>
      <c r="C47" s="9">
        <f t="shared" si="5"/>
        <v>73.16</v>
      </c>
      <c r="D47" s="9" t="str">
        <f t="shared" si="6"/>
        <v/>
      </c>
      <c r="E47" s="9">
        <f t="shared" si="9"/>
        <v>72.47</v>
      </c>
      <c r="F47" s="9">
        <f t="shared" si="10"/>
        <v>73.3</v>
      </c>
      <c r="G47" s="9">
        <f t="shared" si="7"/>
        <v>67.400000000000006</v>
      </c>
    </row>
    <row r="48" spans="1:7">
      <c r="A48" s="3">
        <v>38</v>
      </c>
      <c r="B48" s="27">
        <f t="shared" si="8"/>
        <v>38</v>
      </c>
      <c r="C48" s="9">
        <f t="shared" si="5"/>
        <v>73.16</v>
      </c>
      <c r="D48" s="9" t="str">
        <f t="shared" si="6"/>
        <v/>
      </c>
      <c r="E48" s="9">
        <f t="shared" si="9"/>
        <v>72.47</v>
      </c>
      <c r="F48" s="9">
        <f t="shared" si="10"/>
        <v>73.3</v>
      </c>
      <c r="G48" s="9">
        <f t="shared" si="7"/>
        <v>67.400000000000006</v>
      </c>
    </row>
    <row r="49" spans="1:7">
      <c r="A49" s="3">
        <v>39</v>
      </c>
      <c r="B49" s="27">
        <f t="shared" si="8"/>
        <v>39</v>
      </c>
      <c r="C49" s="9">
        <f t="shared" si="5"/>
        <v>73.16</v>
      </c>
      <c r="D49" s="9" t="str">
        <f t="shared" si="6"/>
        <v/>
      </c>
      <c r="E49" s="9">
        <f t="shared" si="9"/>
        <v>72.47</v>
      </c>
      <c r="F49" s="9">
        <f t="shared" si="10"/>
        <v>73.3</v>
      </c>
      <c r="G49" s="9">
        <f t="shared" si="7"/>
        <v>67.400000000000006</v>
      </c>
    </row>
    <row r="50" spans="1:7">
      <c r="A50" s="3">
        <v>40</v>
      </c>
      <c r="B50" s="27">
        <f t="shared" si="8"/>
        <v>40</v>
      </c>
      <c r="C50" s="9">
        <f t="shared" si="5"/>
        <v>73.16</v>
      </c>
      <c r="D50" s="9" t="str">
        <f t="shared" si="6"/>
        <v/>
      </c>
      <c r="E50" s="9">
        <f t="shared" si="9"/>
        <v>72.47</v>
      </c>
      <c r="F50" s="9">
        <f t="shared" si="10"/>
        <v>73.3</v>
      </c>
      <c r="G50" s="9">
        <f t="shared" si="7"/>
        <v>67.400000000000006</v>
      </c>
    </row>
    <row r="51" spans="1:7">
      <c r="A51" s="3">
        <v>41</v>
      </c>
      <c r="B51" s="27">
        <f t="shared" si="8"/>
        <v>41</v>
      </c>
      <c r="C51" s="9">
        <f t="shared" si="5"/>
        <v>73.16</v>
      </c>
      <c r="D51" s="9" t="str">
        <f t="shared" si="6"/>
        <v/>
      </c>
      <c r="E51" s="9">
        <f t="shared" si="9"/>
        <v>72.47</v>
      </c>
      <c r="F51" s="9">
        <f t="shared" si="10"/>
        <v>73.3</v>
      </c>
      <c r="G51" s="9">
        <f t="shared" si="7"/>
        <v>67.400000000000006</v>
      </c>
    </row>
    <row r="52" spans="1:7">
      <c r="A52" s="3">
        <v>42</v>
      </c>
      <c r="B52" s="27">
        <f t="shared" si="8"/>
        <v>42</v>
      </c>
      <c r="C52" s="9">
        <f t="shared" si="5"/>
        <v>73.16</v>
      </c>
      <c r="D52" s="9" t="str">
        <f t="shared" si="6"/>
        <v/>
      </c>
      <c r="E52" s="9">
        <f t="shared" si="9"/>
        <v>72.47</v>
      </c>
      <c r="F52" s="9">
        <f t="shared" si="10"/>
        <v>73.3</v>
      </c>
      <c r="G52" s="9">
        <f t="shared" si="7"/>
        <v>67.400000000000006</v>
      </c>
    </row>
    <row r="53" spans="1:7">
      <c r="A53" s="3">
        <v>43</v>
      </c>
      <c r="B53" s="27">
        <f t="shared" si="8"/>
        <v>43</v>
      </c>
      <c r="C53" s="9">
        <f t="shared" si="5"/>
        <v>73.16</v>
      </c>
      <c r="D53" s="9" t="str">
        <f t="shared" si="6"/>
        <v/>
      </c>
      <c r="E53" s="9">
        <f t="shared" si="9"/>
        <v>72.47</v>
      </c>
      <c r="F53" s="9">
        <f t="shared" si="10"/>
        <v>73.3</v>
      </c>
      <c r="G53" s="9">
        <f t="shared" si="7"/>
        <v>67.400000000000006</v>
      </c>
    </row>
    <row r="54" spans="1:7">
      <c r="A54" s="3">
        <v>44</v>
      </c>
      <c r="B54" s="27">
        <f t="shared" si="8"/>
        <v>44</v>
      </c>
      <c r="C54" s="9">
        <f t="shared" si="5"/>
        <v>73.16</v>
      </c>
      <c r="D54" s="9" t="str">
        <f t="shared" si="6"/>
        <v/>
      </c>
      <c r="E54" s="9">
        <f t="shared" si="9"/>
        <v>72.47</v>
      </c>
      <c r="F54" s="9">
        <f t="shared" si="10"/>
        <v>73.3</v>
      </c>
      <c r="G54" s="9">
        <f t="shared" si="7"/>
        <v>67.400000000000006</v>
      </c>
    </row>
    <row r="55" spans="1:7">
      <c r="A55" s="3">
        <v>45</v>
      </c>
      <c r="B55" s="27">
        <f t="shared" si="8"/>
        <v>45</v>
      </c>
      <c r="C55" s="9">
        <f t="shared" si="5"/>
        <v>73.16</v>
      </c>
      <c r="D55" s="9" t="str">
        <f t="shared" si="6"/>
        <v/>
      </c>
      <c r="E55" s="9">
        <f t="shared" si="9"/>
        <v>72.47</v>
      </c>
      <c r="F55" s="9">
        <f t="shared" si="10"/>
        <v>73.3</v>
      </c>
      <c r="G55" s="9">
        <f t="shared" si="7"/>
        <v>67.400000000000006</v>
      </c>
    </row>
    <row r="56" spans="1:7">
      <c r="A56" s="3">
        <v>46</v>
      </c>
      <c r="B56" s="27">
        <f t="shared" si="8"/>
        <v>46</v>
      </c>
      <c r="C56" s="9">
        <f t="shared" si="5"/>
        <v>73.16</v>
      </c>
      <c r="D56" s="9" t="str">
        <f t="shared" si="6"/>
        <v/>
      </c>
      <c r="E56" s="9">
        <f t="shared" si="9"/>
        <v>72.47</v>
      </c>
      <c r="F56" s="9">
        <f t="shared" si="10"/>
        <v>73.3</v>
      </c>
      <c r="G56" s="9">
        <f t="shared" si="7"/>
        <v>67.400000000000006</v>
      </c>
    </row>
    <row r="57" spans="1:7">
      <c r="A57" s="3">
        <v>47</v>
      </c>
      <c r="B57" s="27">
        <f t="shared" si="8"/>
        <v>47</v>
      </c>
      <c r="C57" s="9">
        <f t="shared" si="5"/>
        <v>73.16</v>
      </c>
      <c r="D57" s="9" t="str">
        <f t="shared" si="6"/>
        <v/>
      </c>
      <c r="E57" s="9">
        <f t="shared" si="9"/>
        <v>72.47</v>
      </c>
      <c r="F57" s="9">
        <f t="shared" si="10"/>
        <v>73.3</v>
      </c>
      <c r="G57" s="9">
        <f t="shared" si="7"/>
        <v>67.400000000000006</v>
      </c>
    </row>
    <row r="58" spans="1:7">
      <c r="A58" s="3">
        <v>48</v>
      </c>
      <c r="B58" s="27">
        <f t="shared" si="8"/>
        <v>48</v>
      </c>
      <c r="C58" s="9">
        <f t="shared" si="5"/>
        <v>73.16</v>
      </c>
      <c r="D58" s="9" t="str">
        <f t="shared" si="6"/>
        <v/>
      </c>
      <c r="E58" s="9">
        <f t="shared" si="9"/>
        <v>72.47</v>
      </c>
      <c r="F58" s="9">
        <f t="shared" si="10"/>
        <v>73.3</v>
      </c>
      <c r="G58" s="9">
        <f t="shared" si="7"/>
        <v>67.400000000000006</v>
      </c>
    </row>
    <row r="59" spans="1:7">
      <c r="A59" s="3">
        <v>49</v>
      </c>
      <c r="B59" s="27">
        <f t="shared" si="8"/>
        <v>49</v>
      </c>
      <c r="C59" s="9">
        <f t="shared" si="5"/>
        <v>73.16</v>
      </c>
      <c r="D59" s="9" t="str">
        <f t="shared" si="6"/>
        <v/>
      </c>
      <c r="E59" s="9">
        <f t="shared" si="9"/>
        <v>72.47</v>
      </c>
      <c r="F59" s="9">
        <f t="shared" si="10"/>
        <v>73.3</v>
      </c>
      <c r="G59" s="9">
        <f t="shared" si="7"/>
        <v>67.400000000000006</v>
      </c>
    </row>
    <row r="60" spans="1:7">
      <c r="A60" s="3">
        <v>50</v>
      </c>
      <c r="B60" s="27">
        <f t="shared" si="8"/>
        <v>50</v>
      </c>
      <c r="C60" s="9">
        <f t="shared" si="5"/>
        <v>73.16</v>
      </c>
      <c r="D60" s="9" t="str">
        <f t="shared" si="6"/>
        <v/>
      </c>
      <c r="E60" s="9">
        <f t="shared" si="9"/>
        <v>72.47</v>
      </c>
      <c r="F60" s="9">
        <f t="shared" si="10"/>
        <v>73.3</v>
      </c>
      <c r="G60" s="9">
        <f t="shared" si="7"/>
        <v>67.400000000000006</v>
      </c>
    </row>
    <row r="61" spans="1:7">
      <c r="A61" s="3">
        <v>51</v>
      </c>
      <c r="B61" s="27">
        <f t="shared" si="8"/>
        <v>51</v>
      </c>
      <c r="C61" s="9">
        <f t="shared" si="5"/>
        <v>73.16</v>
      </c>
      <c r="D61" s="9" t="str">
        <f t="shared" si="6"/>
        <v/>
      </c>
      <c r="E61" s="9">
        <f t="shared" si="9"/>
        <v>72.47</v>
      </c>
      <c r="F61" s="9">
        <f t="shared" si="10"/>
        <v>73.3</v>
      </c>
      <c r="G61" s="9">
        <f t="shared" si="7"/>
        <v>67.400000000000006</v>
      </c>
    </row>
    <row r="62" spans="1:7">
      <c r="A62" s="3">
        <v>52</v>
      </c>
      <c r="B62" s="27">
        <f t="shared" si="8"/>
        <v>52</v>
      </c>
      <c r="C62" s="9">
        <f t="shared" si="5"/>
        <v>73.16</v>
      </c>
      <c r="D62" s="9" t="str">
        <f t="shared" si="6"/>
        <v/>
      </c>
      <c r="E62" s="9">
        <f t="shared" si="9"/>
        <v>72.47</v>
      </c>
      <c r="F62" s="9">
        <f t="shared" si="10"/>
        <v>73.3</v>
      </c>
      <c r="G62" s="9">
        <f t="shared" si="7"/>
        <v>67.400000000000006</v>
      </c>
    </row>
    <row r="63" spans="1:7">
      <c r="A63" s="3">
        <v>53</v>
      </c>
      <c r="B63" s="27">
        <f t="shared" si="8"/>
        <v>53</v>
      </c>
      <c r="C63" s="9">
        <f t="shared" si="5"/>
        <v>73.16</v>
      </c>
      <c r="D63" s="9" t="str">
        <f t="shared" si="6"/>
        <v/>
      </c>
      <c r="E63" s="9">
        <f t="shared" si="9"/>
        <v>72.47</v>
      </c>
      <c r="F63" s="9">
        <f t="shared" si="10"/>
        <v>73.3</v>
      </c>
      <c r="G63" s="9">
        <f t="shared" si="7"/>
        <v>67.400000000000006</v>
      </c>
    </row>
    <row r="64" spans="1:7">
      <c r="A64" s="3">
        <v>54</v>
      </c>
      <c r="B64" s="27">
        <f t="shared" si="8"/>
        <v>54</v>
      </c>
      <c r="C64" s="9">
        <f t="shared" si="5"/>
        <v>73.16</v>
      </c>
      <c r="D64" s="9" t="str">
        <f t="shared" si="6"/>
        <v/>
      </c>
      <c r="E64" s="9">
        <f t="shared" si="9"/>
        <v>72.47</v>
      </c>
      <c r="F64" s="9">
        <f t="shared" si="10"/>
        <v>73.3</v>
      </c>
      <c r="G64" s="9">
        <f t="shared" si="7"/>
        <v>67.400000000000006</v>
      </c>
    </row>
    <row r="65" spans="1:7">
      <c r="A65" s="3">
        <v>55</v>
      </c>
      <c r="B65" s="27">
        <f t="shared" si="8"/>
        <v>55</v>
      </c>
      <c r="C65" s="9">
        <f t="shared" si="5"/>
        <v>73.16</v>
      </c>
      <c r="D65" s="9" t="str">
        <f t="shared" si="6"/>
        <v/>
      </c>
      <c r="E65" s="9">
        <f t="shared" si="9"/>
        <v>72.47</v>
      </c>
      <c r="F65" s="9">
        <f t="shared" si="10"/>
        <v>73.3</v>
      </c>
      <c r="G65" s="9">
        <f t="shared" si="7"/>
        <v>67.400000000000006</v>
      </c>
    </row>
    <row r="66" spans="1:7">
      <c r="A66" s="3">
        <v>56</v>
      </c>
      <c r="B66" s="27">
        <f t="shared" si="8"/>
        <v>56</v>
      </c>
      <c r="C66" s="9">
        <f t="shared" si="5"/>
        <v>73.16</v>
      </c>
      <c r="D66" s="9" t="str">
        <f t="shared" si="6"/>
        <v/>
      </c>
      <c r="E66" s="9">
        <f t="shared" si="9"/>
        <v>72.47</v>
      </c>
      <c r="F66" s="9">
        <f t="shared" si="10"/>
        <v>73.3</v>
      </c>
      <c r="G66" s="9">
        <f t="shared" si="7"/>
        <v>67.400000000000006</v>
      </c>
    </row>
    <row r="67" spans="1:7">
      <c r="A67" s="3">
        <v>57</v>
      </c>
      <c r="B67" s="27">
        <f t="shared" si="8"/>
        <v>57</v>
      </c>
      <c r="C67" s="9">
        <f t="shared" si="5"/>
        <v>73.16</v>
      </c>
      <c r="D67" s="9" t="str">
        <f t="shared" si="6"/>
        <v/>
      </c>
      <c r="E67" s="9">
        <f t="shared" si="9"/>
        <v>72.47</v>
      </c>
      <c r="F67" s="9">
        <f t="shared" si="10"/>
        <v>73.3</v>
      </c>
      <c r="G67" s="9">
        <f t="shared" si="7"/>
        <v>67.400000000000006</v>
      </c>
    </row>
    <row r="68" spans="1:7">
      <c r="A68" s="3">
        <v>58</v>
      </c>
      <c r="B68" s="27">
        <f t="shared" si="8"/>
        <v>58</v>
      </c>
      <c r="C68" s="9">
        <f t="shared" si="5"/>
        <v>73.16</v>
      </c>
      <c r="D68" s="9" t="str">
        <f t="shared" si="6"/>
        <v/>
      </c>
      <c r="E68" s="9">
        <f t="shared" si="9"/>
        <v>72.47</v>
      </c>
      <c r="F68" s="9">
        <f t="shared" si="10"/>
        <v>73.3</v>
      </c>
      <c r="G68" s="9">
        <f t="shared" si="7"/>
        <v>67.400000000000006</v>
      </c>
    </row>
    <row r="69" spans="1:7">
      <c r="A69" s="3">
        <v>59</v>
      </c>
      <c r="B69" s="27">
        <f t="shared" si="8"/>
        <v>59</v>
      </c>
      <c r="C69" s="9">
        <f t="shared" si="5"/>
        <v>73.16</v>
      </c>
      <c r="D69" s="9" t="str">
        <f t="shared" si="6"/>
        <v/>
      </c>
      <c r="E69" s="9">
        <f t="shared" si="9"/>
        <v>72.47</v>
      </c>
      <c r="F69" s="9">
        <f t="shared" si="10"/>
        <v>73.3</v>
      </c>
      <c r="G69" s="9">
        <f t="shared" si="7"/>
        <v>67.400000000000006</v>
      </c>
    </row>
    <row r="70" spans="1:7">
      <c r="A70" s="3">
        <v>60</v>
      </c>
      <c r="B70" s="27">
        <f t="shared" si="8"/>
        <v>60</v>
      </c>
      <c r="C70" s="9">
        <f t="shared" si="5"/>
        <v>73.16</v>
      </c>
      <c r="D70" s="9" t="str">
        <f t="shared" si="6"/>
        <v/>
      </c>
      <c r="E70" s="9">
        <f t="shared" si="9"/>
        <v>72.47</v>
      </c>
      <c r="F70" s="9">
        <f t="shared" si="10"/>
        <v>73.3</v>
      </c>
      <c r="G70" s="9">
        <f t="shared" si="7"/>
        <v>67.400000000000006</v>
      </c>
    </row>
    <row r="71" spans="1:7">
      <c r="A71" s="3">
        <v>61</v>
      </c>
      <c r="B71" s="27" t="str">
        <f t="shared" si="8"/>
        <v/>
      </c>
      <c r="C71" s="9" t="str">
        <f t="shared" si="5"/>
        <v/>
      </c>
      <c r="D71" s="9" t="str">
        <f t="shared" si="6"/>
        <v/>
      </c>
      <c r="E71" s="9" t="str">
        <f t="shared" si="9"/>
        <v/>
      </c>
      <c r="F71" s="9" t="str">
        <f t="shared" si="10"/>
        <v/>
      </c>
      <c r="G71" s="9" t="str">
        <f t="shared" si="7"/>
        <v/>
      </c>
    </row>
    <row r="72" spans="1:7">
      <c r="A72" s="3">
        <v>62</v>
      </c>
      <c r="B72" s="27" t="str">
        <f t="shared" si="8"/>
        <v/>
      </c>
      <c r="C72" s="9" t="str">
        <f t="shared" si="5"/>
        <v/>
      </c>
      <c r="D72" s="9" t="str">
        <f t="shared" si="6"/>
        <v/>
      </c>
      <c r="E72" s="9" t="str">
        <f t="shared" si="9"/>
        <v/>
      </c>
      <c r="F72" s="9" t="str">
        <f t="shared" si="10"/>
        <v/>
      </c>
      <c r="G72" s="9" t="str">
        <f t="shared" si="7"/>
        <v/>
      </c>
    </row>
    <row r="73" spans="1:7">
      <c r="A73" s="3">
        <v>63</v>
      </c>
      <c r="B73" s="27" t="str">
        <f t="shared" si="8"/>
        <v/>
      </c>
      <c r="C73" s="9" t="str">
        <f t="shared" si="5"/>
        <v/>
      </c>
      <c r="D73" s="9" t="str">
        <f t="shared" si="6"/>
        <v/>
      </c>
      <c r="E73" s="9" t="str">
        <f t="shared" si="9"/>
        <v/>
      </c>
      <c r="F73" s="9" t="str">
        <f t="shared" si="10"/>
        <v/>
      </c>
      <c r="G73" s="9" t="str">
        <f t="shared" si="7"/>
        <v/>
      </c>
    </row>
    <row r="74" spans="1:7">
      <c r="A74" s="3">
        <v>64</v>
      </c>
      <c r="B74" s="27" t="str">
        <f t="shared" si="8"/>
        <v/>
      </c>
      <c r="C74" s="9" t="str">
        <f t="shared" si="5"/>
        <v/>
      </c>
      <c r="D74" s="9" t="str">
        <f t="shared" si="6"/>
        <v/>
      </c>
      <c r="E74" s="9" t="str">
        <f t="shared" si="9"/>
        <v/>
      </c>
      <c r="F74" s="9" t="str">
        <f t="shared" si="10"/>
        <v/>
      </c>
      <c r="G74" s="9" t="str">
        <f t="shared" si="7"/>
        <v/>
      </c>
    </row>
    <row r="75" spans="1:7">
      <c r="A75" s="3">
        <v>65</v>
      </c>
      <c r="B75" s="27" t="str">
        <f t="shared" ref="B75:B106" si="11">IF(A75&gt;$J$4,"",A75)</f>
        <v/>
      </c>
      <c r="C75" s="9" t="str">
        <f t="shared" si="5"/>
        <v/>
      </c>
      <c r="D75" s="9" t="str">
        <f t="shared" si="6"/>
        <v/>
      </c>
      <c r="E75" s="9" t="str">
        <f t="shared" ref="E75:E106" si="12">IF(B75="","",IF(B75&gt;$J$2,$J$8,0))</f>
        <v/>
      </c>
      <c r="F75" s="9" t="str">
        <f t="shared" ref="F75:F106" si="13">IF(B75="","",IF(B75&gt;$J$2,$J$9,0))</f>
        <v/>
      </c>
      <c r="G75" s="9" t="str">
        <f t="shared" si="7"/>
        <v/>
      </c>
    </row>
    <row r="76" spans="1:7">
      <c r="A76" s="3">
        <v>66</v>
      </c>
      <c r="B76" s="27" t="str">
        <f t="shared" si="11"/>
        <v/>
      </c>
      <c r="C76" s="9" t="str">
        <f t="shared" ref="C76:C139" si="14">IF(B76="","",IF(B76&gt;$J$2,$J$6,0))</f>
        <v/>
      </c>
      <c r="D76" s="9" t="str">
        <f t="shared" ref="D76:D139" si="15">IF(B76="","",IF(B76&gt;$J$2,$J$7,0))</f>
        <v/>
      </c>
      <c r="E76" s="9" t="str">
        <f t="shared" si="12"/>
        <v/>
      </c>
      <c r="F76" s="9" t="str">
        <f t="shared" si="13"/>
        <v/>
      </c>
      <c r="G76" s="9" t="str">
        <f t="shared" ref="G76:G139" si="16">IF(C76="","",IF(B76&gt;$J$2,$J$5,0))</f>
        <v/>
      </c>
    </row>
    <row r="77" spans="1:7">
      <c r="A77" s="3">
        <v>67</v>
      </c>
      <c r="B77" s="27" t="str">
        <f t="shared" si="11"/>
        <v/>
      </c>
      <c r="C77" s="9" t="str">
        <f t="shared" si="14"/>
        <v/>
      </c>
      <c r="D77" s="9" t="str">
        <f t="shared" si="15"/>
        <v/>
      </c>
      <c r="E77" s="9" t="str">
        <f t="shared" si="12"/>
        <v/>
      </c>
      <c r="F77" s="9" t="str">
        <f t="shared" si="13"/>
        <v/>
      </c>
      <c r="G77" s="9" t="str">
        <f t="shared" si="16"/>
        <v/>
      </c>
    </row>
    <row r="78" spans="1:7">
      <c r="A78" s="3">
        <v>68</v>
      </c>
      <c r="B78" s="27" t="str">
        <f t="shared" si="11"/>
        <v/>
      </c>
      <c r="C78" s="9" t="str">
        <f t="shared" si="14"/>
        <v/>
      </c>
      <c r="D78" s="9" t="str">
        <f t="shared" si="15"/>
        <v/>
      </c>
      <c r="E78" s="9" t="str">
        <f t="shared" si="12"/>
        <v/>
      </c>
      <c r="F78" s="9" t="str">
        <f t="shared" si="13"/>
        <v/>
      </c>
      <c r="G78" s="9" t="str">
        <f t="shared" si="16"/>
        <v/>
      </c>
    </row>
    <row r="79" spans="1:7">
      <c r="A79" s="3">
        <v>69</v>
      </c>
      <c r="B79" s="27" t="str">
        <f t="shared" si="11"/>
        <v/>
      </c>
      <c r="C79" s="9" t="str">
        <f t="shared" si="14"/>
        <v/>
      </c>
      <c r="D79" s="9" t="str">
        <f t="shared" si="15"/>
        <v/>
      </c>
      <c r="E79" s="9" t="str">
        <f t="shared" si="12"/>
        <v/>
      </c>
      <c r="F79" s="9" t="str">
        <f t="shared" si="13"/>
        <v/>
      </c>
      <c r="G79" s="9" t="str">
        <f t="shared" si="16"/>
        <v/>
      </c>
    </row>
    <row r="80" spans="1:7">
      <c r="A80" s="3">
        <v>70</v>
      </c>
      <c r="B80" s="27" t="str">
        <f t="shared" si="11"/>
        <v/>
      </c>
      <c r="C80" s="9" t="str">
        <f t="shared" si="14"/>
        <v/>
      </c>
      <c r="D80" s="9" t="str">
        <f t="shared" si="15"/>
        <v/>
      </c>
      <c r="E80" s="9" t="str">
        <f t="shared" si="12"/>
        <v/>
      </c>
      <c r="F80" s="9" t="str">
        <f t="shared" si="13"/>
        <v/>
      </c>
      <c r="G80" s="9" t="str">
        <f t="shared" si="16"/>
        <v/>
      </c>
    </row>
    <row r="81" spans="1:7">
      <c r="A81" s="3">
        <v>71</v>
      </c>
      <c r="B81" s="27" t="str">
        <f t="shared" si="11"/>
        <v/>
      </c>
      <c r="C81" s="9" t="str">
        <f t="shared" si="14"/>
        <v/>
      </c>
      <c r="D81" s="9" t="str">
        <f t="shared" si="15"/>
        <v/>
      </c>
      <c r="E81" s="9" t="str">
        <f t="shared" si="12"/>
        <v/>
      </c>
      <c r="F81" s="9" t="str">
        <f t="shared" si="13"/>
        <v/>
      </c>
      <c r="G81" s="9" t="str">
        <f t="shared" si="16"/>
        <v/>
      </c>
    </row>
    <row r="82" spans="1:7">
      <c r="A82" s="3">
        <v>72</v>
      </c>
      <c r="B82" s="27" t="str">
        <f t="shared" si="11"/>
        <v/>
      </c>
      <c r="C82" s="9" t="str">
        <f t="shared" si="14"/>
        <v/>
      </c>
      <c r="D82" s="9" t="str">
        <f t="shared" si="15"/>
        <v/>
      </c>
      <c r="E82" s="9" t="str">
        <f t="shared" si="12"/>
        <v/>
      </c>
      <c r="F82" s="9" t="str">
        <f t="shared" si="13"/>
        <v/>
      </c>
      <c r="G82" s="9" t="str">
        <f t="shared" si="16"/>
        <v/>
      </c>
    </row>
    <row r="83" spans="1:7">
      <c r="A83" s="3">
        <v>73</v>
      </c>
      <c r="B83" s="27" t="str">
        <f t="shared" si="11"/>
        <v/>
      </c>
      <c r="C83" s="9" t="str">
        <f t="shared" si="14"/>
        <v/>
      </c>
      <c r="D83" s="9" t="str">
        <f t="shared" si="15"/>
        <v/>
      </c>
      <c r="E83" s="9" t="str">
        <f t="shared" si="12"/>
        <v/>
      </c>
      <c r="F83" s="9" t="str">
        <f t="shared" si="13"/>
        <v/>
      </c>
      <c r="G83" s="9" t="str">
        <f t="shared" si="16"/>
        <v/>
      </c>
    </row>
    <row r="84" spans="1:7">
      <c r="A84" s="3">
        <v>74</v>
      </c>
      <c r="B84" s="27" t="str">
        <f t="shared" si="11"/>
        <v/>
      </c>
      <c r="C84" s="9" t="str">
        <f t="shared" si="14"/>
        <v/>
      </c>
      <c r="D84" s="9" t="str">
        <f t="shared" si="15"/>
        <v/>
      </c>
      <c r="E84" s="9" t="str">
        <f t="shared" si="12"/>
        <v/>
      </c>
      <c r="F84" s="9" t="str">
        <f t="shared" si="13"/>
        <v/>
      </c>
      <c r="G84" s="9" t="str">
        <f t="shared" si="16"/>
        <v/>
      </c>
    </row>
    <row r="85" spans="1:7">
      <c r="A85" s="3">
        <v>75</v>
      </c>
      <c r="B85" s="27" t="str">
        <f t="shared" si="11"/>
        <v/>
      </c>
      <c r="C85" s="9" t="str">
        <f t="shared" si="14"/>
        <v/>
      </c>
      <c r="D85" s="9" t="str">
        <f t="shared" si="15"/>
        <v/>
      </c>
      <c r="E85" s="9" t="str">
        <f t="shared" si="12"/>
        <v/>
      </c>
      <c r="F85" s="9" t="str">
        <f t="shared" si="13"/>
        <v/>
      </c>
      <c r="G85" s="9" t="str">
        <f t="shared" si="16"/>
        <v/>
      </c>
    </row>
    <row r="86" spans="1:7">
      <c r="A86" s="3">
        <v>76</v>
      </c>
      <c r="B86" s="27" t="str">
        <f t="shared" si="11"/>
        <v/>
      </c>
      <c r="C86" s="9" t="str">
        <f t="shared" si="14"/>
        <v/>
      </c>
      <c r="D86" s="9" t="str">
        <f t="shared" si="15"/>
        <v/>
      </c>
      <c r="E86" s="9" t="str">
        <f t="shared" si="12"/>
        <v/>
      </c>
      <c r="F86" s="9" t="str">
        <f t="shared" si="13"/>
        <v/>
      </c>
      <c r="G86" s="9" t="str">
        <f t="shared" si="16"/>
        <v/>
      </c>
    </row>
    <row r="87" spans="1:7">
      <c r="A87" s="3">
        <v>77</v>
      </c>
      <c r="B87" s="27" t="str">
        <f t="shared" si="11"/>
        <v/>
      </c>
      <c r="C87" s="9" t="str">
        <f t="shared" si="14"/>
        <v/>
      </c>
      <c r="D87" s="9" t="str">
        <f t="shared" si="15"/>
        <v/>
      </c>
      <c r="E87" s="9" t="str">
        <f t="shared" si="12"/>
        <v/>
      </c>
      <c r="F87" s="9" t="str">
        <f t="shared" si="13"/>
        <v/>
      </c>
      <c r="G87" s="9" t="str">
        <f t="shared" si="16"/>
        <v/>
      </c>
    </row>
    <row r="88" spans="1:7">
      <c r="A88" s="3">
        <v>78</v>
      </c>
      <c r="B88" s="27" t="str">
        <f t="shared" si="11"/>
        <v/>
      </c>
      <c r="C88" s="9" t="str">
        <f t="shared" si="14"/>
        <v/>
      </c>
      <c r="D88" s="9" t="str">
        <f t="shared" si="15"/>
        <v/>
      </c>
      <c r="E88" s="9" t="str">
        <f t="shared" si="12"/>
        <v/>
      </c>
      <c r="F88" s="9" t="str">
        <f t="shared" si="13"/>
        <v/>
      </c>
      <c r="G88" s="9" t="str">
        <f t="shared" si="16"/>
        <v/>
      </c>
    </row>
    <row r="89" spans="1:7">
      <c r="A89" s="3">
        <v>79</v>
      </c>
      <c r="B89" s="27" t="str">
        <f t="shared" si="11"/>
        <v/>
      </c>
      <c r="C89" s="9" t="str">
        <f t="shared" si="14"/>
        <v/>
      </c>
      <c r="D89" s="9" t="str">
        <f t="shared" si="15"/>
        <v/>
      </c>
      <c r="E89" s="9" t="str">
        <f t="shared" si="12"/>
        <v/>
      </c>
      <c r="F89" s="9" t="str">
        <f t="shared" si="13"/>
        <v/>
      </c>
      <c r="G89" s="9" t="str">
        <f t="shared" si="16"/>
        <v/>
      </c>
    </row>
    <row r="90" spans="1:7">
      <c r="A90" s="3">
        <v>80</v>
      </c>
      <c r="B90" s="27" t="str">
        <f t="shared" si="11"/>
        <v/>
      </c>
      <c r="C90" s="9" t="str">
        <f t="shared" si="14"/>
        <v/>
      </c>
      <c r="D90" s="9" t="str">
        <f t="shared" si="15"/>
        <v/>
      </c>
      <c r="E90" s="9" t="str">
        <f t="shared" si="12"/>
        <v/>
      </c>
      <c r="F90" s="9" t="str">
        <f t="shared" si="13"/>
        <v/>
      </c>
      <c r="G90" s="9" t="str">
        <f t="shared" si="16"/>
        <v/>
      </c>
    </row>
    <row r="91" spans="1:7">
      <c r="A91" s="3">
        <v>81</v>
      </c>
      <c r="B91" s="27" t="str">
        <f t="shared" si="11"/>
        <v/>
      </c>
      <c r="C91" s="9" t="str">
        <f t="shared" si="14"/>
        <v/>
      </c>
      <c r="D91" s="9" t="str">
        <f t="shared" si="15"/>
        <v/>
      </c>
      <c r="E91" s="9" t="str">
        <f t="shared" si="12"/>
        <v/>
      </c>
      <c r="F91" s="9" t="str">
        <f t="shared" si="13"/>
        <v/>
      </c>
      <c r="G91" s="9" t="str">
        <f t="shared" si="16"/>
        <v/>
      </c>
    </row>
    <row r="92" spans="1:7">
      <c r="A92" s="3">
        <v>82</v>
      </c>
      <c r="B92" s="27" t="str">
        <f t="shared" si="11"/>
        <v/>
      </c>
      <c r="C92" s="9" t="str">
        <f t="shared" si="14"/>
        <v/>
      </c>
      <c r="D92" s="9" t="str">
        <f t="shared" si="15"/>
        <v/>
      </c>
      <c r="E92" s="9" t="str">
        <f t="shared" si="12"/>
        <v/>
      </c>
      <c r="F92" s="9" t="str">
        <f t="shared" si="13"/>
        <v/>
      </c>
      <c r="G92" s="9" t="str">
        <f t="shared" si="16"/>
        <v/>
      </c>
    </row>
    <row r="93" spans="1:7">
      <c r="A93" s="3">
        <v>83</v>
      </c>
      <c r="B93" s="27" t="str">
        <f t="shared" si="11"/>
        <v/>
      </c>
      <c r="C93" s="9" t="str">
        <f t="shared" si="14"/>
        <v/>
      </c>
      <c r="D93" s="9" t="str">
        <f t="shared" si="15"/>
        <v/>
      </c>
      <c r="E93" s="9" t="str">
        <f t="shared" si="12"/>
        <v/>
      </c>
      <c r="F93" s="9" t="str">
        <f t="shared" si="13"/>
        <v/>
      </c>
      <c r="G93" s="9" t="str">
        <f t="shared" si="16"/>
        <v/>
      </c>
    </row>
    <row r="94" spans="1:7">
      <c r="A94" s="3">
        <v>84</v>
      </c>
      <c r="B94" s="27" t="str">
        <f t="shared" si="11"/>
        <v/>
      </c>
      <c r="C94" s="9" t="str">
        <f t="shared" si="14"/>
        <v/>
      </c>
      <c r="D94" s="9" t="str">
        <f t="shared" si="15"/>
        <v/>
      </c>
      <c r="E94" s="9" t="str">
        <f t="shared" si="12"/>
        <v/>
      </c>
      <c r="F94" s="9" t="str">
        <f t="shared" si="13"/>
        <v/>
      </c>
      <c r="G94" s="9" t="str">
        <f t="shared" si="16"/>
        <v/>
      </c>
    </row>
    <row r="95" spans="1:7">
      <c r="A95" s="3">
        <v>85</v>
      </c>
      <c r="B95" s="27" t="str">
        <f t="shared" si="11"/>
        <v/>
      </c>
      <c r="C95" s="9" t="str">
        <f t="shared" si="14"/>
        <v/>
      </c>
      <c r="D95" s="9" t="str">
        <f t="shared" si="15"/>
        <v/>
      </c>
      <c r="E95" s="9" t="str">
        <f t="shared" si="12"/>
        <v/>
      </c>
      <c r="F95" s="9" t="str">
        <f t="shared" si="13"/>
        <v/>
      </c>
      <c r="G95" s="9" t="str">
        <f t="shared" si="16"/>
        <v/>
      </c>
    </row>
    <row r="96" spans="1:7">
      <c r="A96" s="3">
        <v>86</v>
      </c>
      <c r="B96" s="27" t="str">
        <f t="shared" si="11"/>
        <v/>
      </c>
      <c r="C96" s="9" t="str">
        <f t="shared" si="14"/>
        <v/>
      </c>
      <c r="D96" s="9" t="str">
        <f t="shared" si="15"/>
        <v/>
      </c>
      <c r="E96" s="9" t="str">
        <f t="shared" si="12"/>
        <v/>
      </c>
      <c r="F96" s="9" t="str">
        <f t="shared" si="13"/>
        <v/>
      </c>
      <c r="G96" s="9" t="str">
        <f t="shared" si="16"/>
        <v/>
      </c>
    </row>
    <row r="97" spans="1:7">
      <c r="A97" s="3">
        <v>87</v>
      </c>
      <c r="B97" s="27" t="str">
        <f t="shared" si="11"/>
        <v/>
      </c>
      <c r="C97" s="9" t="str">
        <f t="shared" si="14"/>
        <v/>
      </c>
      <c r="D97" s="9" t="str">
        <f t="shared" si="15"/>
        <v/>
      </c>
      <c r="E97" s="9" t="str">
        <f t="shared" si="12"/>
        <v/>
      </c>
      <c r="F97" s="9" t="str">
        <f t="shared" si="13"/>
        <v/>
      </c>
      <c r="G97" s="9" t="str">
        <f t="shared" si="16"/>
        <v/>
      </c>
    </row>
    <row r="98" spans="1:7">
      <c r="A98" s="3">
        <v>88</v>
      </c>
      <c r="B98" s="27" t="str">
        <f t="shared" si="11"/>
        <v/>
      </c>
      <c r="C98" s="9" t="str">
        <f t="shared" si="14"/>
        <v/>
      </c>
      <c r="D98" s="9" t="str">
        <f t="shared" si="15"/>
        <v/>
      </c>
      <c r="E98" s="9" t="str">
        <f t="shared" si="12"/>
        <v/>
      </c>
      <c r="F98" s="9" t="str">
        <f t="shared" si="13"/>
        <v/>
      </c>
      <c r="G98" s="9" t="str">
        <f t="shared" si="16"/>
        <v/>
      </c>
    </row>
    <row r="99" spans="1:7">
      <c r="A99" s="3">
        <v>89</v>
      </c>
      <c r="B99" s="27" t="str">
        <f t="shared" si="11"/>
        <v/>
      </c>
      <c r="C99" s="9" t="str">
        <f t="shared" si="14"/>
        <v/>
      </c>
      <c r="D99" s="9" t="str">
        <f t="shared" si="15"/>
        <v/>
      </c>
      <c r="E99" s="9" t="str">
        <f t="shared" si="12"/>
        <v/>
      </c>
      <c r="F99" s="9" t="str">
        <f t="shared" si="13"/>
        <v/>
      </c>
      <c r="G99" s="9" t="str">
        <f t="shared" si="16"/>
        <v/>
      </c>
    </row>
    <row r="100" spans="1:7">
      <c r="A100" s="3">
        <v>90</v>
      </c>
      <c r="B100" s="27" t="str">
        <f t="shared" si="11"/>
        <v/>
      </c>
      <c r="C100" s="9" t="str">
        <f t="shared" si="14"/>
        <v/>
      </c>
      <c r="D100" s="9" t="str">
        <f t="shared" si="15"/>
        <v/>
      </c>
      <c r="E100" s="9" t="str">
        <f t="shared" si="12"/>
        <v/>
      </c>
      <c r="F100" s="9" t="str">
        <f t="shared" si="13"/>
        <v/>
      </c>
      <c r="G100" s="9" t="str">
        <f t="shared" si="16"/>
        <v/>
      </c>
    </row>
    <row r="101" spans="1:7">
      <c r="A101" s="3">
        <v>91</v>
      </c>
      <c r="B101" s="27" t="str">
        <f t="shared" si="11"/>
        <v/>
      </c>
      <c r="C101" s="9" t="str">
        <f t="shared" si="14"/>
        <v/>
      </c>
      <c r="D101" s="9" t="str">
        <f t="shared" si="15"/>
        <v/>
      </c>
      <c r="E101" s="9" t="str">
        <f t="shared" si="12"/>
        <v/>
      </c>
      <c r="F101" s="9" t="str">
        <f t="shared" si="13"/>
        <v/>
      </c>
      <c r="G101" s="9" t="str">
        <f t="shared" si="16"/>
        <v/>
      </c>
    </row>
    <row r="102" spans="1:7">
      <c r="A102" s="3">
        <v>92</v>
      </c>
      <c r="B102" s="27" t="str">
        <f t="shared" si="11"/>
        <v/>
      </c>
      <c r="C102" s="9" t="str">
        <f t="shared" si="14"/>
        <v/>
      </c>
      <c r="D102" s="9" t="str">
        <f t="shared" si="15"/>
        <v/>
      </c>
      <c r="E102" s="9" t="str">
        <f t="shared" si="12"/>
        <v/>
      </c>
      <c r="F102" s="9" t="str">
        <f t="shared" si="13"/>
        <v/>
      </c>
      <c r="G102" s="9" t="str">
        <f t="shared" si="16"/>
        <v/>
      </c>
    </row>
    <row r="103" spans="1:7">
      <c r="A103" s="3">
        <v>93</v>
      </c>
      <c r="B103" s="27" t="str">
        <f t="shared" si="11"/>
        <v/>
      </c>
      <c r="C103" s="9" t="str">
        <f t="shared" si="14"/>
        <v/>
      </c>
      <c r="D103" s="9" t="str">
        <f t="shared" si="15"/>
        <v/>
      </c>
      <c r="E103" s="9" t="str">
        <f t="shared" si="12"/>
        <v/>
      </c>
      <c r="F103" s="9" t="str">
        <f t="shared" si="13"/>
        <v/>
      </c>
      <c r="G103" s="9" t="str">
        <f t="shared" si="16"/>
        <v/>
      </c>
    </row>
    <row r="104" spans="1:7">
      <c r="A104" s="3">
        <v>94</v>
      </c>
      <c r="B104" s="27" t="str">
        <f t="shared" si="11"/>
        <v/>
      </c>
      <c r="C104" s="9" t="str">
        <f t="shared" si="14"/>
        <v/>
      </c>
      <c r="D104" s="9" t="str">
        <f t="shared" si="15"/>
        <v/>
      </c>
      <c r="E104" s="9" t="str">
        <f t="shared" si="12"/>
        <v/>
      </c>
      <c r="F104" s="9" t="str">
        <f t="shared" si="13"/>
        <v/>
      </c>
      <c r="G104" s="9" t="str">
        <f t="shared" si="16"/>
        <v/>
      </c>
    </row>
    <row r="105" spans="1:7">
      <c r="A105" s="3">
        <v>95</v>
      </c>
      <c r="B105" s="27" t="str">
        <f t="shared" si="11"/>
        <v/>
      </c>
      <c r="C105" s="9" t="str">
        <f t="shared" si="14"/>
        <v/>
      </c>
      <c r="D105" s="9" t="str">
        <f t="shared" si="15"/>
        <v/>
      </c>
      <c r="E105" s="9" t="str">
        <f t="shared" si="12"/>
        <v/>
      </c>
      <c r="F105" s="9" t="str">
        <f t="shared" si="13"/>
        <v/>
      </c>
      <c r="G105" s="9" t="str">
        <f t="shared" si="16"/>
        <v/>
      </c>
    </row>
    <row r="106" spans="1:7">
      <c r="A106" s="3">
        <v>96</v>
      </c>
      <c r="B106" s="27" t="str">
        <f t="shared" si="11"/>
        <v/>
      </c>
      <c r="C106" s="9" t="str">
        <f t="shared" si="14"/>
        <v/>
      </c>
      <c r="D106" s="9" t="str">
        <f t="shared" si="15"/>
        <v/>
      </c>
      <c r="E106" s="9" t="str">
        <f t="shared" si="12"/>
        <v/>
      </c>
      <c r="F106" s="9" t="str">
        <f t="shared" si="13"/>
        <v/>
      </c>
      <c r="G106" s="9" t="str">
        <f t="shared" si="16"/>
        <v/>
      </c>
    </row>
    <row r="107" spans="1:7">
      <c r="A107" s="3">
        <v>97</v>
      </c>
      <c r="B107" s="27" t="str">
        <f t="shared" ref="B107:B138" si="17">IF(A107&gt;$J$4,"",A107)</f>
        <v/>
      </c>
      <c r="C107" s="9" t="str">
        <f t="shared" si="14"/>
        <v/>
      </c>
      <c r="D107" s="9" t="str">
        <f t="shared" si="15"/>
        <v/>
      </c>
      <c r="E107" s="9" t="str">
        <f t="shared" ref="E107:E138" si="18">IF(B107="","",IF(B107&gt;$J$2,$J$8,0))</f>
        <v/>
      </c>
      <c r="F107" s="9" t="str">
        <f t="shared" ref="F107:F138" si="19">IF(B107="","",IF(B107&gt;$J$2,$J$9,0))</f>
        <v/>
      </c>
      <c r="G107" s="9" t="str">
        <f t="shared" si="16"/>
        <v/>
      </c>
    </row>
    <row r="108" spans="1:7">
      <c r="A108" s="3">
        <v>98</v>
      </c>
      <c r="B108" s="27" t="str">
        <f t="shared" si="17"/>
        <v/>
      </c>
      <c r="C108" s="9" t="str">
        <f t="shared" si="14"/>
        <v/>
      </c>
      <c r="D108" s="9" t="str">
        <f t="shared" si="15"/>
        <v/>
      </c>
      <c r="E108" s="9" t="str">
        <f t="shared" si="18"/>
        <v/>
      </c>
      <c r="F108" s="9" t="str">
        <f t="shared" si="19"/>
        <v/>
      </c>
      <c r="G108" s="9" t="str">
        <f t="shared" si="16"/>
        <v/>
      </c>
    </row>
    <row r="109" spans="1:7">
      <c r="A109" s="3">
        <v>99</v>
      </c>
      <c r="B109" s="27" t="str">
        <f t="shared" si="17"/>
        <v/>
      </c>
      <c r="C109" s="9" t="str">
        <f t="shared" si="14"/>
        <v/>
      </c>
      <c r="D109" s="9" t="str">
        <f t="shared" si="15"/>
        <v/>
      </c>
      <c r="E109" s="9" t="str">
        <f t="shared" si="18"/>
        <v/>
      </c>
      <c r="F109" s="9" t="str">
        <f t="shared" si="19"/>
        <v/>
      </c>
      <c r="G109" s="9" t="str">
        <f t="shared" si="16"/>
        <v/>
      </c>
    </row>
    <row r="110" spans="1:7">
      <c r="A110" s="3">
        <v>100</v>
      </c>
      <c r="B110" s="27" t="str">
        <f t="shared" si="17"/>
        <v/>
      </c>
      <c r="C110" s="9" t="str">
        <f t="shared" si="14"/>
        <v/>
      </c>
      <c r="D110" s="9" t="str">
        <f t="shared" si="15"/>
        <v/>
      </c>
      <c r="E110" s="9" t="str">
        <f t="shared" si="18"/>
        <v/>
      </c>
      <c r="F110" s="9" t="str">
        <f t="shared" si="19"/>
        <v/>
      </c>
      <c r="G110" s="9" t="str">
        <f t="shared" si="16"/>
        <v/>
      </c>
    </row>
    <row r="111" spans="1:7">
      <c r="A111" s="3">
        <v>101</v>
      </c>
      <c r="B111" s="27" t="str">
        <f t="shared" si="17"/>
        <v/>
      </c>
      <c r="C111" s="9" t="str">
        <f t="shared" si="14"/>
        <v/>
      </c>
      <c r="D111" s="9" t="str">
        <f t="shared" si="15"/>
        <v/>
      </c>
      <c r="E111" s="9" t="str">
        <f t="shared" si="18"/>
        <v/>
      </c>
      <c r="F111" s="9" t="str">
        <f t="shared" si="19"/>
        <v/>
      </c>
      <c r="G111" s="9" t="str">
        <f t="shared" si="16"/>
        <v/>
      </c>
    </row>
    <row r="112" spans="1:7">
      <c r="A112" s="3">
        <v>102</v>
      </c>
      <c r="B112" s="27" t="str">
        <f t="shared" si="17"/>
        <v/>
      </c>
      <c r="C112" s="9" t="str">
        <f t="shared" si="14"/>
        <v/>
      </c>
      <c r="D112" s="9" t="str">
        <f t="shared" si="15"/>
        <v/>
      </c>
      <c r="E112" s="9" t="str">
        <f t="shared" si="18"/>
        <v/>
      </c>
      <c r="F112" s="9" t="str">
        <f t="shared" si="19"/>
        <v/>
      </c>
      <c r="G112" s="9" t="str">
        <f t="shared" si="16"/>
        <v/>
      </c>
    </row>
    <row r="113" spans="1:7">
      <c r="A113" s="3">
        <v>103</v>
      </c>
      <c r="B113" s="27" t="str">
        <f t="shared" si="17"/>
        <v/>
      </c>
      <c r="C113" s="9" t="str">
        <f t="shared" si="14"/>
        <v/>
      </c>
      <c r="D113" s="9" t="str">
        <f t="shared" si="15"/>
        <v/>
      </c>
      <c r="E113" s="9" t="str">
        <f t="shared" si="18"/>
        <v/>
      </c>
      <c r="F113" s="9" t="str">
        <f t="shared" si="19"/>
        <v/>
      </c>
      <c r="G113" s="9" t="str">
        <f t="shared" si="16"/>
        <v/>
      </c>
    </row>
    <row r="114" spans="1:7">
      <c r="A114" s="3">
        <v>104</v>
      </c>
      <c r="B114" s="27" t="str">
        <f t="shared" si="17"/>
        <v/>
      </c>
      <c r="C114" s="9" t="str">
        <f t="shared" si="14"/>
        <v/>
      </c>
      <c r="D114" s="9" t="str">
        <f t="shared" si="15"/>
        <v/>
      </c>
      <c r="E114" s="9" t="str">
        <f t="shared" si="18"/>
        <v/>
      </c>
      <c r="F114" s="9" t="str">
        <f t="shared" si="19"/>
        <v/>
      </c>
      <c r="G114" s="9" t="str">
        <f t="shared" si="16"/>
        <v/>
      </c>
    </row>
    <row r="115" spans="1:7">
      <c r="A115" s="3">
        <v>105</v>
      </c>
      <c r="B115" s="27" t="str">
        <f t="shared" si="17"/>
        <v/>
      </c>
      <c r="C115" s="9" t="str">
        <f t="shared" si="14"/>
        <v/>
      </c>
      <c r="D115" s="9" t="str">
        <f t="shared" si="15"/>
        <v/>
      </c>
      <c r="E115" s="9" t="str">
        <f t="shared" si="18"/>
        <v/>
      </c>
      <c r="F115" s="9" t="str">
        <f t="shared" si="19"/>
        <v/>
      </c>
      <c r="G115" s="9" t="str">
        <f t="shared" si="16"/>
        <v/>
      </c>
    </row>
    <row r="116" spans="1:7">
      <c r="A116" s="3">
        <v>106</v>
      </c>
      <c r="B116" s="27" t="str">
        <f t="shared" si="17"/>
        <v/>
      </c>
      <c r="C116" s="9" t="str">
        <f t="shared" si="14"/>
        <v/>
      </c>
      <c r="D116" s="9" t="str">
        <f t="shared" si="15"/>
        <v/>
      </c>
      <c r="E116" s="9" t="str">
        <f t="shared" si="18"/>
        <v/>
      </c>
      <c r="F116" s="9" t="str">
        <f t="shared" si="19"/>
        <v/>
      </c>
      <c r="G116" s="9" t="str">
        <f t="shared" si="16"/>
        <v/>
      </c>
    </row>
    <row r="117" spans="1:7">
      <c r="A117" s="3">
        <v>107</v>
      </c>
      <c r="B117" s="27" t="str">
        <f t="shared" si="17"/>
        <v/>
      </c>
      <c r="C117" s="9" t="str">
        <f t="shared" si="14"/>
        <v/>
      </c>
      <c r="D117" s="9" t="str">
        <f t="shared" si="15"/>
        <v/>
      </c>
      <c r="E117" s="9" t="str">
        <f t="shared" si="18"/>
        <v/>
      </c>
      <c r="F117" s="9" t="str">
        <f t="shared" si="19"/>
        <v/>
      </c>
      <c r="G117" s="9" t="str">
        <f t="shared" si="16"/>
        <v/>
      </c>
    </row>
    <row r="118" spans="1:7">
      <c r="A118" s="3">
        <v>108</v>
      </c>
      <c r="B118" s="27" t="str">
        <f t="shared" si="17"/>
        <v/>
      </c>
      <c r="C118" s="9" t="str">
        <f t="shared" si="14"/>
        <v/>
      </c>
      <c r="D118" s="9" t="str">
        <f t="shared" si="15"/>
        <v/>
      </c>
      <c r="E118" s="9" t="str">
        <f t="shared" si="18"/>
        <v/>
      </c>
      <c r="F118" s="9" t="str">
        <f t="shared" si="19"/>
        <v/>
      </c>
      <c r="G118" s="9" t="str">
        <f t="shared" si="16"/>
        <v/>
      </c>
    </row>
    <row r="119" spans="1:7">
      <c r="A119" s="3">
        <v>109</v>
      </c>
      <c r="B119" s="27" t="str">
        <f t="shared" si="17"/>
        <v/>
      </c>
      <c r="C119" s="9" t="str">
        <f t="shared" si="14"/>
        <v/>
      </c>
      <c r="D119" s="9" t="str">
        <f t="shared" si="15"/>
        <v/>
      </c>
      <c r="E119" s="9" t="str">
        <f t="shared" si="18"/>
        <v/>
      </c>
      <c r="F119" s="9" t="str">
        <f t="shared" si="19"/>
        <v/>
      </c>
      <c r="G119" s="9" t="str">
        <f t="shared" si="16"/>
        <v/>
      </c>
    </row>
    <row r="120" spans="1:7">
      <c r="A120" s="3">
        <v>110</v>
      </c>
      <c r="B120" s="27" t="str">
        <f t="shared" si="17"/>
        <v/>
      </c>
      <c r="C120" s="9" t="str">
        <f t="shared" si="14"/>
        <v/>
      </c>
      <c r="D120" s="9" t="str">
        <f t="shared" si="15"/>
        <v/>
      </c>
      <c r="E120" s="9" t="str">
        <f t="shared" si="18"/>
        <v/>
      </c>
      <c r="F120" s="9" t="str">
        <f t="shared" si="19"/>
        <v/>
      </c>
      <c r="G120" s="9" t="str">
        <f t="shared" si="16"/>
        <v/>
      </c>
    </row>
    <row r="121" spans="1:7">
      <c r="A121" s="3">
        <v>111</v>
      </c>
      <c r="B121" s="27" t="str">
        <f t="shared" si="17"/>
        <v/>
      </c>
      <c r="C121" s="9" t="str">
        <f t="shared" si="14"/>
        <v/>
      </c>
      <c r="D121" s="9" t="str">
        <f t="shared" si="15"/>
        <v/>
      </c>
      <c r="E121" s="9" t="str">
        <f t="shared" si="18"/>
        <v/>
      </c>
      <c r="F121" s="9" t="str">
        <f t="shared" si="19"/>
        <v/>
      </c>
      <c r="G121" s="9" t="str">
        <f t="shared" si="16"/>
        <v/>
      </c>
    </row>
    <row r="122" spans="1:7">
      <c r="A122" s="3">
        <v>112</v>
      </c>
      <c r="B122" s="27" t="str">
        <f t="shared" si="17"/>
        <v/>
      </c>
      <c r="C122" s="9" t="str">
        <f t="shared" si="14"/>
        <v/>
      </c>
      <c r="D122" s="9" t="str">
        <f t="shared" si="15"/>
        <v/>
      </c>
      <c r="E122" s="9" t="str">
        <f t="shared" si="18"/>
        <v/>
      </c>
      <c r="F122" s="9" t="str">
        <f t="shared" si="19"/>
        <v/>
      </c>
      <c r="G122" s="9" t="str">
        <f t="shared" si="16"/>
        <v/>
      </c>
    </row>
    <row r="123" spans="1:7">
      <c r="A123" s="3">
        <v>113</v>
      </c>
      <c r="B123" s="27" t="str">
        <f t="shared" si="17"/>
        <v/>
      </c>
      <c r="C123" s="9" t="str">
        <f t="shared" si="14"/>
        <v/>
      </c>
      <c r="D123" s="9" t="str">
        <f t="shared" si="15"/>
        <v/>
      </c>
      <c r="E123" s="9" t="str">
        <f t="shared" si="18"/>
        <v/>
      </c>
      <c r="F123" s="9" t="str">
        <f t="shared" si="19"/>
        <v/>
      </c>
      <c r="G123" s="9" t="str">
        <f t="shared" si="16"/>
        <v/>
      </c>
    </row>
    <row r="124" spans="1:7">
      <c r="A124" s="3">
        <v>114</v>
      </c>
      <c r="B124" s="27" t="str">
        <f t="shared" si="17"/>
        <v/>
      </c>
      <c r="C124" s="9" t="str">
        <f t="shared" si="14"/>
        <v/>
      </c>
      <c r="D124" s="9" t="str">
        <f t="shared" si="15"/>
        <v/>
      </c>
      <c r="E124" s="9" t="str">
        <f t="shared" si="18"/>
        <v/>
      </c>
      <c r="F124" s="9" t="str">
        <f t="shared" si="19"/>
        <v/>
      </c>
      <c r="G124" s="9" t="str">
        <f t="shared" si="16"/>
        <v/>
      </c>
    </row>
    <row r="125" spans="1:7">
      <c r="A125" s="3">
        <v>115</v>
      </c>
      <c r="B125" s="27" t="str">
        <f t="shared" si="17"/>
        <v/>
      </c>
      <c r="C125" s="9" t="str">
        <f t="shared" si="14"/>
        <v/>
      </c>
      <c r="D125" s="9" t="str">
        <f t="shared" si="15"/>
        <v/>
      </c>
      <c r="E125" s="9" t="str">
        <f t="shared" si="18"/>
        <v/>
      </c>
      <c r="F125" s="9" t="str">
        <f t="shared" si="19"/>
        <v/>
      </c>
      <c r="G125" s="9" t="str">
        <f t="shared" si="16"/>
        <v/>
      </c>
    </row>
    <row r="126" spans="1:7">
      <c r="A126" s="3">
        <v>116</v>
      </c>
      <c r="B126" s="27" t="str">
        <f t="shared" si="17"/>
        <v/>
      </c>
      <c r="C126" s="9" t="str">
        <f t="shared" si="14"/>
        <v/>
      </c>
      <c r="D126" s="9" t="str">
        <f t="shared" si="15"/>
        <v/>
      </c>
      <c r="E126" s="9" t="str">
        <f t="shared" si="18"/>
        <v/>
      </c>
      <c r="F126" s="9" t="str">
        <f t="shared" si="19"/>
        <v/>
      </c>
      <c r="G126" s="9" t="str">
        <f t="shared" si="16"/>
        <v/>
      </c>
    </row>
    <row r="127" spans="1:7">
      <c r="A127" s="3">
        <v>117</v>
      </c>
      <c r="B127" s="27" t="str">
        <f t="shared" si="17"/>
        <v/>
      </c>
      <c r="C127" s="9" t="str">
        <f t="shared" si="14"/>
        <v/>
      </c>
      <c r="D127" s="9" t="str">
        <f t="shared" si="15"/>
        <v/>
      </c>
      <c r="E127" s="9" t="str">
        <f t="shared" si="18"/>
        <v/>
      </c>
      <c r="F127" s="9" t="str">
        <f t="shared" si="19"/>
        <v/>
      </c>
      <c r="G127" s="9" t="str">
        <f t="shared" si="16"/>
        <v/>
      </c>
    </row>
    <row r="128" spans="1:7">
      <c r="A128" s="3">
        <v>118</v>
      </c>
      <c r="B128" s="27" t="str">
        <f t="shared" si="17"/>
        <v/>
      </c>
      <c r="C128" s="9" t="str">
        <f t="shared" si="14"/>
        <v/>
      </c>
      <c r="D128" s="9" t="str">
        <f t="shared" si="15"/>
        <v/>
      </c>
      <c r="E128" s="9" t="str">
        <f t="shared" si="18"/>
        <v/>
      </c>
      <c r="F128" s="9" t="str">
        <f t="shared" si="19"/>
        <v/>
      </c>
      <c r="G128" s="9" t="str">
        <f t="shared" si="16"/>
        <v/>
      </c>
    </row>
    <row r="129" spans="1:7">
      <c r="A129" s="3">
        <v>119</v>
      </c>
      <c r="B129" s="27" t="str">
        <f t="shared" si="17"/>
        <v/>
      </c>
      <c r="C129" s="9" t="str">
        <f t="shared" si="14"/>
        <v/>
      </c>
      <c r="D129" s="9" t="str">
        <f t="shared" si="15"/>
        <v/>
      </c>
      <c r="E129" s="9" t="str">
        <f t="shared" si="18"/>
        <v/>
      </c>
      <c r="F129" s="9" t="str">
        <f t="shared" si="19"/>
        <v/>
      </c>
      <c r="G129" s="9" t="str">
        <f t="shared" si="16"/>
        <v/>
      </c>
    </row>
    <row r="130" spans="1:7">
      <c r="A130" s="3">
        <v>120</v>
      </c>
      <c r="B130" s="27" t="str">
        <f t="shared" si="17"/>
        <v/>
      </c>
      <c r="C130" s="9" t="str">
        <f t="shared" si="14"/>
        <v/>
      </c>
      <c r="D130" s="9" t="str">
        <f t="shared" si="15"/>
        <v/>
      </c>
      <c r="E130" s="9" t="str">
        <f t="shared" si="18"/>
        <v/>
      </c>
      <c r="F130" s="9" t="str">
        <f t="shared" si="19"/>
        <v/>
      </c>
      <c r="G130" s="9" t="str">
        <f t="shared" si="16"/>
        <v/>
      </c>
    </row>
    <row r="131" spans="1:7">
      <c r="A131" s="3">
        <v>121</v>
      </c>
      <c r="B131" s="27" t="str">
        <f t="shared" si="17"/>
        <v/>
      </c>
      <c r="C131" s="9" t="str">
        <f t="shared" si="14"/>
        <v/>
      </c>
      <c r="D131" s="9" t="str">
        <f t="shared" si="15"/>
        <v/>
      </c>
      <c r="E131" s="9" t="str">
        <f t="shared" si="18"/>
        <v/>
      </c>
      <c r="F131" s="9" t="str">
        <f t="shared" si="19"/>
        <v/>
      </c>
      <c r="G131" s="9" t="str">
        <f t="shared" si="16"/>
        <v/>
      </c>
    </row>
    <row r="132" spans="1:7">
      <c r="A132" s="3">
        <v>122</v>
      </c>
      <c r="B132" s="27" t="str">
        <f t="shared" si="17"/>
        <v/>
      </c>
      <c r="C132" s="9" t="str">
        <f t="shared" si="14"/>
        <v/>
      </c>
      <c r="D132" s="9" t="str">
        <f t="shared" si="15"/>
        <v/>
      </c>
      <c r="E132" s="9" t="str">
        <f t="shared" si="18"/>
        <v/>
      </c>
      <c r="F132" s="9" t="str">
        <f t="shared" si="19"/>
        <v/>
      </c>
      <c r="G132" s="9" t="str">
        <f t="shared" si="16"/>
        <v/>
      </c>
    </row>
    <row r="133" spans="1:7">
      <c r="A133" s="3">
        <v>123</v>
      </c>
      <c r="B133" s="27" t="str">
        <f t="shared" si="17"/>
        <v/>
      </c>
      <c r="C133" s="9" t="str">
        <f t="shared" si="14"/>
        <v/>
      </c>
      <c r="D133" s="9" t="str">
        <f t="shared" si="15"/>
        <v/>
      </c>
      <c r="E133" s="9" t="str">
        <f t="shared" si="18"/>
        <v/>
      </c>
      <c r="F133" s="9" t="str">
        <f t="shared" si="19"/>
        <v/>
      </c>
      <c r="G133" s="9" t="str">
        <f t="shared" si="16"/>
        <v/>
      </c>
    </row>
    <row r="134" spans="1:7">
      <c r="A134" s="3">
        <v>124</v>
      </c>
      <c r="B134" s="27" t="str">
        <f t="shared" si="17"/>
        <v/>
      </c>
      <c r="C134" s="9" t="str">
        <f t="shared" si="14"/>
        <v/>
      </c>
      <c r="D134" s="9" t="str">
        <f t="shared" si="15"/>
        <v/>
      </c>
      <c r="E134" s="9" t="str">
        <f t="shared" si="18"/>
        <v/>
      </c>
      <c r="F134" s="9" t="str">
        <f t="shared" si="19"/>
        <v/>
      </c>
      <c r="G134" s="9" t="str">
        <f t="shared" si="16"/>
        <v/>
      </c>
    </row>
    <row r="135" spans="1:7">
      <c r="A135" s="3">
        <v>125</v>
      </c>
      <c r="B135" s="27" t="str">
        <f t="shared" si="17"/>
        <v/>
      </c>
      <c r="C135" s="9" t="str">
        <f t="shared" si="14"/>
        <v/>
      </c>
      <c r="D135" s="9" t="str">
        <f t="shared" si="15"/>
        <v/>
      </c>
      <c r="E135" s="9" t="str">
        <f t="shared" si="18"/>
        <v/>
      </c>
      <c r="F135" s="9" t="str">
        <f t="shared" si="19"/>
        <v/>
      </c>
      <c r="G135" s="9" t="str">
        <f t="shared" si="16"/>
        <v/>
      </c>
    </row>
    <row r="136" spans="1:7">
      <c r="A136" s="3">
        <v>126</v>
      </c>
      <c r="B136" s="27" t="str">
        <f t="shared" si="17"/>
        <v/>
      </c>
      <c r="C136" s="9" t="str">
        <f t="shared" si="14"/>
        <v/>
      </c>
      <c r="D136" s="9" t="str">
        <f t="shared" si="15"/>
        <v/>
      </c>
      <c r="E136" s="9" t="str">
        <f t="shared" si="18"/>
        <v/>
      </c>
      <c r="F136" s="9" t="str">
        <f t="shared" si="19"/>
        <v/>
      </c>
      <c r="G136" s="9" t="str">
        <f t="shared" si="16"/>
        <v/>
      </c>
    </row>
    <row r="137" spans="1:7">
      <c r="A137" s="3">
        <v>127</v>
      </c>
      <c r="B137" s="27" t="str">
        <f t="shared" si="17"/>
        <v/>
      </c>
      <c r="C137" s="9" t="str">
        <f t="shared" si="14"/>
        <v/>
      </c>
      <c r="D137" s="9" t="str">
        <f t="shared" si="15"/>
        <v/>
      </c>
      <c r="E137" s="9" t="str">
        <f t="shared" si="18"/>
        <v/>
      </c>
      <c r="F137" s="9" t="str">
        <f t="shared" si="19"/>
        <v/>
      </c>
      <c r="G137" s="9" t="str">
        <f t="shared" si="16"/>
        <v/>
      </c>
    </row>
    <row r="138" spans="1:7">
      <c r="A138" s="3">
        <v>128</v>
      </c>
      <c r="B138" s="27" t="str">
        <f t="shared" si="17"/>
        <v/>
      </c>
      <c r="C138" s="9" t="str">
        <f t="shared" si="14"/>
        <v/>
      </c>
      <c r="D138" s="9" t="str">
        <f t="shared" si="15"/>
        <v/>
      </c>
      <c r="E138" s="9" t="str">
        <f t="shared" si="18"/>
        <v/>
      </c>
      <c r="F138" s="9" t="str">
        <f t="shared" si="19"/>
        <v/>
      </c>
      <c r="G138" s="9" t="str">
        <f t="shared" si="16"/>
        <v/>
      </c>
    </row>
    <row r="139" spans="1:7">
      <c r="A139" s="3">
        <v>129</v>
      </c>
      <c r="B139" s="27" t="str">
        <f t="shared" ref="B139:B170" si="20">IF(A139&gt;$J$4,"",A139)</f>
        <v/>
      </c>
      <c r="C139" s="9" t="str">
        <f t="shared" si="14"/>
        <v/>
      </c>
      <c r="D139" s="9" t="str">
        <f t="shared" si="15"/>
        <v/>
      </c>
      <c r="E139" s="9" t="str">
        <f t="shared" ref="E139:E170" si="21">IF(B139="","",IF(B139&gt;$J$2,$J$8,0))</f>
        <v/>
      </c>
      <c r="F139" s="9" t="str">
        <f t="shared" ref="F139:F170" si="22">IF(B139="","",IF(B139&gt;$J$2,$J$9,0))</f>
        <v/>
      </c>
      <c r="G139" s="9" t="str">
        <f t="shared" si="16"/>
        <v/>
      </c>
    </row>
    <row r="140" spans="1:7">
      <c r="A140" s="3">
        <v>130</v>
      </c>
      <c r="B140" s="27" t="str">
        <f t="shared" si="20"/>
        <v/>
      </c>
      <c r="C140" s="9" t="str">
        <f t="shared" ref="C140:C203" si="23">IF(B140="","",IF(B140&gt;$J$2,$J$6,0))</f>
        <v/>
      </c>
      <c r="D140" s="9" t="str">
        <f t="shared" ref="D140:D203" si="24">IF(B140="","",IF(B140&gt;$J$2,$J$7,0))</f>
        <v/>
      </c>
      <c r="E140" s="9" t="str">
        <f t="shared" si="21"/>
        <v/>
      </c>
      <c r="F140" s="9" t="str">
        <f t="shared" si="22"/>
        <v/>
      </c>
      <c r="G140" s="9" t="str">
        <f t="shared" ref="G140:G202" si="25">IF(C140="","",IF(B140&gt;$J$2,$J$5,0))</f>
        <v/>
      </c>
    </row>
    <row r="141" spans="1:7">
      <c r="A141" s="3">
        <v>131</v>
      </c>
      <c r="B141" s="27" t="str">
        <f t="shared" si="20"/>
        <v/>
      </c>
      <c r="C141" s="9" t="str">
        <f t="shared" si="23"/>
        <v/>
      </c>
      <c r="D141" s="9" t="str">
        <f t="shared" si="24"/>
        <v/>
      </c>
      <c r="E141" s="9" t="str">
        <f t="shared" si="21"/>
        <v/>
      </c>
      <c r="F141" s="9" t="str">
        <f t="shared" si="22"/>
        <v/>
      </c>
      <c r="G141" s="9" t="str">
        <f t="shared" si="25"/>
        <v/>
      </c>
    </row>
    <row r="142" spans="1:7">
      <c r="A142" s="3">
        <v>132</v>
      </c>
      <c r="B142" s="27" t="str">
        <f t="shared" si="20"/>
        <v/>
      </c>
      <c r="C142" s="9" t="str">
        <f t="shared" si="23"/>
        <v/>
      </c>
      <c r="D142" s="9" t="str">
        <f t="shared" si="24"/>
        <v/>
      </c>
      <c r="E142" s="9" t="str">
        <f t="shared" si="21"/>
        <v/>
      </c>
      <c r="F142" s="9" t="str">
        <f t="shared" si="22"/>
        <v/>
      </c>
      <c r="G142" s="9" t="str">
        <f t="shared" si="25"/>
        <v/>
      </c>
    </row>
    <row r="143" spans="1:7">
      <c r="A143" s="3">
        <v>133</v>
      </c>
      <c r="B143" s="27" t="str">
        <f t="shared" si="20"/>
        <v/>
      </c>
      <c r="C143" s="9" t="str">
        <f t="shared" si="23"/>
        <v/>
      </c>
      <c r="D143" s="9" t="str">
        <f t="shared" si="24"/>
        <v/>
      </c>
      <c r="E143" s="9" t="str">
        <f t="shared" si="21"/>
        <v/>
      </c>
      <c r="F143" s="9" t="str">
        <f t="shared" si="22"/>
        <v/>
      </c>
      <c r="G143" s="9" t="str">
        <f t="shared" si="25"/>
        <v/>
      </c>
    </row>
    <row r="144" spans="1:7">
      <c r="A144" s="3">
        <v>134</v>
      </c>
      <c r="B144" s="27" t="str">
        <f t="shared" si="20"/>
        <v/>
      </c>
      <c r="C144" s="9" t="str">
        <f t="shared" si="23"/>
        <v/>
      </c>
      <c r="D144" s="9" t="str">
        <f t="shared" si="24"/>
        <v/>
      </c>
      <c r="E144" s="9" t="str">
        <f t="shared" si="21"/>
        <v/>
      </c>
      <c r="F144" s="9" t="str">
        <f t="shared" si="22"/>
        <v/>
      </c>
      <c r="G144" s="9" t="str">
        <f t="shared" si="25"/>
        <v/>
      </c>
    </row>
    <row r="145" spans="1:7">
      <c r="A145" s="3">
        <v>135</v>
      </c>
      <c r="B145" s="27" t="str">
        <f t="shared" si="20"/>
        <v/>
      </c>
      <c r="C145" s="9" t="str">
        <f t="shared" si="23"/>
        <v/>
      </c>
      <c r="D145" s="9" t="str">
        <f t="shared" si="24"/>
        <v/>
      </c>
      <c r="E145" s="9" t="str">
        <f t="shared" si="21"/>
        <v/>
      </c>
      <c r="F145" s="9" t="str">
        <f t="shared" si="22"/>
        <v/>
      </c>
      <c r="G145" s="9" t="str">
        <f t="shared" si="25"/>
        <v/>
      </c>
    </row>
    <row r="146" spans="1:7">
      <c r="A146" s="3">
        <v>136</v>
      </c>
      <c r="B146" s="27" t="str">
        <f t="shared" si="20"/>
        <v/>
      </c>
      <c r="C146" s="9" t="str">
        <f t="shared" si="23"/>
        <v/>
      </c>
      <c r="D146" s="9" t="str">
        <f t="shared" si="24"/>
        <v/>
      </c>
      <c r="E146" s="9" t="str">
        <f t="shared" si="21"/>
        <v/>
      </c>
      <c r="F146" s="9" t="str">
        <f t="shared" si="22"/>
        <v/>
      </c>
      <c r="G146" s="9" t="str">
        <f t="shared" si="25"/>
        <v/>
      </c>
    </row>
    <row r="147" spans="1:7">
      <c r="A147" s="3">
        <v>137</v>
      </c>
      <c r="B147" s="27" t="str">
        <f t="shared" si="20"/>
        <v/>
      </c>
      <c r="C147" s="9" t="str">
        <f t="shared" si="23"/>
        <v/>
      </c>
      <c r="D147" s="9" t="str">
        <f t="shared" si="24"/>
        <v/>
      </c>
      <c r="E147" s="9" t="str">
        <f t="shared" si="21"/>
        <v/>
      </c>
      <c r="F147" s="9" t="str">
        <f t="shared" si="22"/>
        <v/>
      </c>
      <c r="G147" s="9" t="str">
        <f t="shared" si="25"/>
        <v/>
      </c>
    </row>
    <row r="148" spans="1:7">
      <c r="A148" s="3">
        <v>138</v>
      </c>
      <c r="B148" s="27" t="str">
        <f t="shared" si="20"/>
        <v/>
      </c>
      <c r="C148" s="9" t="str">
        <f t="shared" si="23"/>
        <v/>
      </c>
      <c r="D148" s="9" t="str">
        <f t="shared" si="24"/>
        <v/>
      </c>
      <c r="E148" s="9" t="str">
        <f t="shared" si="21"/>
        <v/>
      </c>
      <c r="F148" s="9" t="str">
        <f t="shared" si="22"/>
        <v/>
      </c>
      <c r="G148" s="9" t="str">
        <f t="shared" si="25"/>
        <v/>
      </c>
    </row>
    <row r="149" spans="1:7">
      <c r="A149" s="3">
        <v>139</v>
      </c>
      <c r="B149" s="27" t="str">
        <f t="shared" si="20"/>
        <v/>
      </c>
      <c r="C149" s="9" t="str">
        <f t="shared" si="23"/>
        <v/>
      </c>
      <c r="D149" s="9" t="str">
        <f t="shared" si="24"/>
        <v/>
      </c>
      <c r="E149" s="9" t="str">
        <f t="shared" si="21"/>
        <v/>
      </c>
      <c r="F149" s="9" t="str">
        <f t="shared" si="22"/>
        <v/>
      </c>
      <c r="G149" s="9" t="str">
        <f t="shared" si="25"/>
        <v/>
      </c>
    </row>
    <row r="150" spans="1:7">
      <c r="A150" s="3">
        <v>140</v>
      </c>
      <c r="B150" s="27" t="str">
        <f t="shared" si="20"/>
        <v/>
      </c>
      <c r="C150" s="9" t="str">
        <f t="shared" si="23"/>
        <v/>
      </c>
      <c r="D150" s="9" t="str">
        <f t="shared" si="24"/>
        <v/>
      </c>
      <c r="E150" s="9" t="str">
        <f t="shared" si="21"/>
        <v/>
      </c>
      <c r="F150" s="9" t="str">
        <f t="shared" si="22"/>
        <v/>
      </c>
      <c r="G150" s="9" t="str">
        <f t="shared" si="25"/>
        <v/>
      </c>
    </row>
    <row r="151" spans="1:7">
      <c r="A151" s="3">
        <v>141</v>
      </c>
      <c r="B151" s="27" t="str">
        <f t="shared" si="20"/>
        <v/>
      </c>
      <c r="C151" s="9" t="str">
        <f t="shared" si="23"/>
        <v/>
      </c>
      <c r="D151" s="9" t="str">
        <f t="shared" si="24"/>
        <v/>
      </c>
      <c r="E151" s="9" t="str">
        <f t="shared" si="21"/>
        <v/>
      </c>
      <c r="F151" s="9" t="str">
        <f t="shared" si="22"/>
        <v/>
      </c>
      <c r="G151" s="9" t="str">
        <f t="shared" si="25"/>
        <v/>
      </c>
    </row>
    <row r="152" spans="1:7">
      <c r="A152" s="3">
        <v>142</v>
      </c>
      <c r="B152" s="27" t="str">
        <f t="shared" si="20"/>
        <v/>
      </c>
      <c r="C152" s="9" t="str">
        <f t="shared" si="23"/>
        <v/>
      </c>
      <c r="D152" s="9" t="str">
        <f t="shared" si="24"/>
        <v/>
      </c>
      <c r="E152" s="9" t="str">
        <f t="shared" si="21"/>
        <v/>
      </c>
      <c r="F152" s="9" t="str">
        <f t="shared" si="22"/>
        <v/>
      </c>
      <c r="G152" s="9" t="str">
        <f t="shared" si="25"/>
        <v/>
      </c>
    </row>
    <row r="153" spans="1:7">
      <c r="A153" s="3">
        <v>143</v>
      </c>
      <c r="B153" s="27" t="str">
        <f t="shared" si="20"/>
        <v/>
      </c>
      <c r="C153" s="9" t="str">
        <f t="shared" si="23"/>
        <v/>
      </c>
      <c r="D153" s="9" t="str">
        <f t="shared" si="24"/>
        <v/>
      </c>
      <c r="E153" s="9" t="str">
        <f t="shared" si="21"/>
        <v/>
      </c>
      <c r="F153" s="9" t="str">
        <f t="shared" si="22"/>
        <v/>
      </c>
      <c r="G153" s="9" t="str">
        <f t="shared" si="25"/>
        <v/>
      </c>
    </row>
    <row r="154" spans="1:7">
      <c r="A154" s="3">
        <v>144</v>
      </c>
      <c r="B154" s="27" t="str">
        <f t="shared" si="20"/>
        <v/>
      </c>
      <c r="C154" s="9" t="str">
        <f t="shared" si="23"/>
        <v/>
      </c>
      <c r="D154" s="9" t="str">
        <f t="shared" si="24"/>
        <v/>
      </c>
      <c r="E154" s="9" t="str">
        <f t="shared" si="21"/>
        <v/>
      </c>
      <c r="F154" s="9" t="str">
        <f t="shared" si="22"/>
        <v/>
      </c>
      <c r="G154" s="9" t="str">
        <f t="shared" si="25"/>
        <v/>
      </c>
    </row>
    <row r="155" spans="1:7">
      <c r="A155" s="3">
        <v>145</v>
      </c>
      <c r="B155" s="27" t="str">
        <f t="shared" si="20"/>
        <v/>
      </c>
      <c r="C155" s="9" t="str">
        <f t="shared" si="23"/>
        <v/>
      </c>
      <c r="D155" s="9" t="str">
        <f t="shared" si="24"/>
        <v/>
      </c>
      <c r="E155" s="9" t="str">
        <f t="shared" si="21"/>
        <v/>
      </c>
      <c r="F155" s="9" t="str">
        <f t="shared" si="22"/>
        <v/>
      </c>
      <c r="G155" s="9" t="str">
        <f t="shared" si="25"/>
        <v/>
      </c>
    </row>
    <row r="156" spans="1:7">
      <c r="A156" s="3">
        <v>146</v>
      </c>
      <c r="B156" s="27" t="str">
        <f t="shared" si="20"/>
        <v/>
      </c>
      <c r="C156" s="9" t="str">
        <f t="shared" si="23"/>
        <v/>
      </c>
      <c r="D156" s="9" t="str">
        <f t="shared" si="24"/>
        <v/>
      </c>
      <c r="E156" s="9" t="str">
        <f t="shared" si="21"/>
        <v/>
      </c>
      <c r="F156" s="9" t="str">
        <f t="shared" si="22"/>
        <v/>
      </c>
      <c r="G156" s="9" t="str">
        <f t="shared" si="25"/>
        <v/>
      </c>
    </row>
    <row r="157" spans="1:7">
      <c r="A157" s="3">
        <v>147</v>
      </c>
      <c r="B157" s="27" t="str">
        <f t="shared" si="20"/>
        <v/>
      </c>
      <c r="C157" s="9" t="str">
        <f t="shared" si="23"/>
        <v/>
      </c>
      <c r="D157" s="9" t="str">
        <f t="shared" si="24"/>
        <v/>
      </c>
      <c r="E157" s="9" t="str">
        <f t="shared" si="21"/>
        <v/>
      </c>
      <c r="F157" s="9" t="str">
        <f t="shared" si="22"/>
        <v/>
      </c>
      <c r="G157" s="9" t="str">
        <f t="shared" si="25"/>
        <v/>
      </c>
    </row>
    <row r="158" spans="1:7">
      <c r="A158" s="3">
        <v>148</v>
      </c>
      <c r="B158" s="27" t="str">
        <f t="shared" si="20"/>
        <v/>
      </c>
      <c r="C158" s="9" t="str">
        <f t="shared" si="23"/>
        <v/>
      </c>
      <c r="D158" s="9" t="str">
        <f t="shared" si="24"/>
        <v/>
      </c>
      <c r="E158" s="9" t="str">
        <f t="shared" si="21"/>
        <v/>
      </c>
      <c r="F158" s="9" t="str">
        <f t="shared" si="22"/>
        <v/>
      </c>
      <c r="G158" s="9" t="str">
        <f t="shared" si="25"/>
        <v/>
      </c>
    </row>
    <row r="159" spans="1:7">
      <c r="A159" s="3">
        <v>149</v>
      </c>
      <c r="B159" s="27" t="str">
        <f t="shared" si="20"/>
        <v/>
      </c>
      <c r="C159" s="9" t="str">
        <f t="shared" si="23"/>
        <v/>
      </c>
      <c r="D159" s="9" t="str">
        <f t="shared" si="24"/>
        <v/>
      </c>
      <c r="E159" s="9" t="str">
        <f t="shared" si="21"/>
        <v/>
      </c>
      <c r="F159" s="9" t="str">
        <f t="shared" si="22"/>
        <v/>
      </c>
      <c r="G159" s="9" t="str">
        <f t="shared" si="25"/>
        <v/>
      </c>
    </row>
    <row r="160" spans="1:7">
      <c r="A160" s="3">
        <v>150</v>
      </c>
      <c r="B160" s="27" t="str">
        <f t="shared" si="20"/>
        <v/>
      </c>
      <c r="C160" s="9" t="str">
        <f t="shared" si="23"/>
        <v/>
      </c>
      <c r="D160" s="9" t="str">
        <f t="shared" si="24"/>
        <v/>
      </c>
      <c r="E160" s="9" t="str">
        <f t="shared" si="21"/>
        <v/>
      </c>
      <c r="F160" s="9" t="str">
        <f t="shared" si="22"/>
        <v/>
      </c>
      <c r="G160" s="9" t="str">
        <f t="shared" si="25"/>
        <v/>
      </c>
    </row>
    <row r="161" spans="1:7">
      <c r="A161" s="3">
        <v>151</v>
      </c>
      <c r="B161" s="27" t="str">
        <f t="shared" si="20"/>
        <v/>
      </c>
      <c r="C161" s="9" t="str">
        <f t="shared" si="23"/>
        <v/>
      </c>
      <c r="D161" s="9" t="str">
        <f t="shared" si="24"/>
        <v/>
      </c>
      <c r="E161" s="9" t="str">
        <f t="shared" si="21"/>
        <v/>
      </c>
      <c r="F161" s="9" t="str">
        <f t="shared" si="22"/>
        <v/>
      </c>
      <c r="G161" s="9" t="str">
        <f t="shared" si="25"/>
        <v/>
      </c>
    </row>
    <row r="162" spans="1:7">
      <c r="A162" s="3">
        <v>152</v>
      </c>
      <c r="B162" s="27" t="str">
        <f t="shared" si="20"/>
        <v/>
      </c>
      <c r="C162" s="9" t="str">
        <f t="shared" si="23"/>
        <v/>
      </c>
      <c r="D162" s="9" t="str">
        <f t="shared" si="24"/>
        <v/>
      </c>
      <c r="E162" s="9" t="str">
        <f t="shared" si="21"/>
        <v/>
      </c>
      <c r="F162" s="9" t="str">
        <f t="shared" si="22"/>
        <v/>
      </c>
      <c r="G162" s="9" t="str">
        <f t="shared" si="25"/>
        <v/>
      </c>
    </row>
    <row r="163" spans="1:7">
      <c r="A163" s="3">
        <v>153</v>
      </c>
      <c r="B163" s="27" t="str">
        <f t="shared" si="20"/>
        <v/>
      </c>
      <c r="C163" s="9" t="str">
        <f t="shared" si="23"/>
        <v/>
      </c>
      <c r="D163" s="9" t="str">
        <f t="shared" si="24"/>
        <v/>
      </c>
      <c r="E163" s="9" t="str">
        <f t="shared" si="21"/>
        <v/>
      </c>
      <c r="F163" s="9" t="str">
        <f t="shared" si="22"/>
        <v/>
      </c>
      <c r="G163" s="9" t="str">
        <f t="shared" si="25"/>
        <v/>
      </c>
    </row>
    <row r="164" spans="1:7">
      <c r="A164" s="3">
        <v>154</v>
      </c>
      <c r="B164" s="27" t="str">
        <f t="shared" si="20"/>
        <v/>
      </c>
      <c r="C164" s="9" t="str">
        <f t="shared" si="23"/>
        <v/>
      </c>
      <c r="D164" s="9" t="str">
        <f t="shared" si="24"/>
        <v/>
      </c>
      <c r="E164" s="9" t="str">
        <f t="shared" si="21"/>
        <v/>
      </c>
      <c r="F164" s="9" t="str">
        <f t="shared" si="22"/>
        <v/>
      </c>
      <c r="G164" s="9" t="str">
        <f t="shared" si="25"/>
        <v/>
      </c>
    </row>
    <row r="165" spans="1:7">
      <c r="A165" s="3">
        <v>155</v>
      </c>
      <c r="B165" s="27" t="str">
        <f t="shared" si="20"/>
        <v/>
      </c>
      <c r="C165" s="9" t="str">
        <f t="shared" si="23"/>
        <v/>
      </c>
      <c r="D165" s="9" t="str">
        <f t="shared" si="24"/>
        <v/>
      </c>
      <c r="E165" s="9" t="str">
        <f t="shared" si="21"/>
        <v/>
      </c>
      <c r="F165" s="9" t="str">
        <f t="shared" si="22"/>
        <v/>
      </c>
      <c r="G165" s="9" t="str">
        <f t="shared" si="25"/>
        <v/>
      </c>
    </row>
    <row r="166" spans="1:7">
      <c r="A166" s="3">
        <v>156</v>
      </c>
      <c r="B166" s="27" t="str">
        <f t="shared" si="20"/>
        <v/>
      </c>
      <c r="C166" s="9" t="str">
        <f t="shared" si="23"/>
        <v/>
      </c>
      <c r="D166" s="9" t="str">
        <f t="shared" si="24"/>
        <v/>
      </c>
      <c r="E166" s="9" t="str">
        <f t="shared" si="21"/>
        <v/>
      </c>
      <c r="F166" s="9" t="str">
        <f t="shared" si="22"/>
        <v/>
      </c>
      <c r="G166" s="9" t="str">
        <f t="shared" si="25"/>
        <v/>
      </c>
    </row>
    <row r="167" spans="1:7">
      <c r="A167" s="3">
        <v>157</v>
      </c>
      <c r="B167" s="27" t="str">
        <f t="shared" si="20"/>
        <v/>
      </c>
      <c r="C167" s="9" t="str">
        <f t="shared" si="23"/>
        <v/>
      </c>
      <c r="D167" s="9" t="str">
        <f t="shared" si="24"/>
        <v/>
      </c>
      <c r="E167" s="9" t="str">
        <f t="shared" si="21"/>
        <v/>
      </c>
      <c r="F167" s="9" t="str">
        <f t="shared" si="22"/>
        <v/>
      </c>
      <c r="G167" s="9" t="str">
        <f t="shared" si="25"/>
        <v/>
      </c>
    </row>
    <row r="168" spans="1:7">
      <c r="A168" s="3">
        <v>158</v>
      </c>
      <c r="B168" s="27" t="str">
        <f t="shared" si="20"/>
        <v/>
      </c>
      <c r="C168" s="9" t="str">
        <f t="shared" si="23"/>
        <v/>
      </c>
      <c r="D168" s="9" t="str">
        <f t="shared" si="24"/>
        <v/>
      </c>
      <c r="E168" s="9" t="str">
        <f t="shared" si="21"/>
        <v/>
      </c>
      <c r="F168" s="9" t="str">
        <f t="shared" si="22"/>
        <v/>
      </c>
      <c r="G168" s="9" t="str">
        <f t="shared" si="25"/>
        <v/>
      </c>
    </row>
    <row r="169" spans="1:7">
      <c r="A169" s="3">
        <v>159</v>
      </c>
      <c r="B169" s="27" t="str">
        <f t="shared" si="20"/>
        <v/>
      </c>
      <c r="C169" s="9" t="str">
        <f t="shared" si="23"/>
        <v/>
      </c>
      <c r="D169" s="9" t="str">
        <f t="shared" si="24"/>
        <v/>
      </c>
      <c r="E169" s="9" t="str">
        <f t="shared" si="21"/>
        <v/>
      </c>
      <c r="F169" s="9" t="str">
        <f t="shared" si="22"/>
        <v/>
      </c>
      <c r="G169" s="9" t="str">
        <f t="shared" si="25"/>
        <v/>
      </c>
    </row>
    <row r="170" spans="1:7">
      <c r="A170" s="3">
        <v>160</v>
      </c>
      <c r="B170" s="27" t="str">
        <f t="shared" si="20"/>
        <v/>
      </c>
      <c r="C170" s="9" t="str">
        <f t="shared" si="23"/>
        <v/>
      </c>
      <c r="D170" s="9" t="str">
        <f t="shared" si="24"/>
        <v/>
      </c>
      <c r="E170" s="9" t="str">
        <f t="shared" si="21"/>
        <v/>
      </c>
      <c r="F170" s="9" t="str">
        <f t="shared" si="22"/>
        <v/>
      </c>
      <c r="G170" s="9" t="str">
        <f t="shared" si="25"/>
        <v/>
      </c>
    </row>
    <row r="171" spans="1:7">
      <c r="A171" s="3">
        <v>161</v>
      </c>
      <c r="B171" s="27" t="str">
        <f t="shared" ref="B171:B202" si="26">IF(A171&gt;$J$4,"",A171)</f>
        <v/>
      </c>
      <c r="C171" s="9" t="str">
        <f t="shared" si="23"/>
        <v/>
      </c>
      <c r="D171" s="9" t="str">
        <f t="shared" si="24"/>
        <v/>
      </c>
      <c r="E171" s="9" t="str">
        <f t="shared" ref="E171:E202" si="27">IF(B171="","",IF(B171&gt;$J$2,$J$8,0))</f>
        <v/>
      </c>
      <c r="F171" s="9" t="str">
        <f t="shared" ref="F171:F202" si="28">IF(B171="","",IF(B171&gt;$J$2,$J$9,0))</f>
        <v/>
      </c>
      <c r="G171" s="9" t="str">
        <f t="shared" si="25"/>
        <v/>
      </c>
    </row>
    <row r="172" spans="1:7">
      <c r="A172" s="3">
        <v>162</v>
      </c>
      <c r="B172" s="27" t="str">
        <f t="shared" si="26"/>
        <v/>
      </c>
      <c r="C172" s="9" t="str">
        <f t="shared" si="23"/>
        <v/>
      </c>
      <c r="D172" s="9" t="str">
        <f t="shared" si="24"/>
        <v/>
      </c>
      <c r="E172" s="9" t="str">
        <f t="shared" si="27"/>
        <v/>
      </c>
      <c r="F172" s="9" t="str">
        <f t="shared" si="28"/>
        <v/>
      </c>
      <c r="G172" s="9" t="str">
        <f t="shared" si="25"/>
        <v/>
      </c>
    </row>
    <row r="173" spans="1:7">
      <c r="A173" s="3">
        <v>163</v>
      </c>
      <c r="B173" s="27" t="str">
        <f t="shared" si="26"/>
        <v/>
      </c>
      <c r="C173" s="9" t="str">
        <f t="shared" si="23"/>
        <v/>
      </c>
      <c r="D173" s="9" t="str">
        <f t="shared" si="24"/>
        <v/>
      </c>
      <c r="E173" s="9" t="str">
        <f t="shared" si="27"/>
        <v/>
      </c>
      <c r="F173" s="9" t="str">
        <f t="shared" si="28"/>
        <v/>
      </c>
      <c r="G173" s="9" t="str">
        <f t="shared" si="25"/>
        <v/>
      </c>
    </row>
    <row r="174" spans="1:7">
      <c r="A174" s="3">
        <v>164</v>
      </c>
      <c r="B174" s="27" t="str">
        <f t="shared" si="26"/>
        <v/>
      </c>
      <c r="C174" s="9" t="str">
        <f t="shared" si="23"/>
        <v/>
      </c>
      <c r="D174" s="9" t="str">
        <f t="shared" si="24"/>
        <v/>
      </c>
      <c r="E174" s="9" t="str">
        <f t="shared" si="27"/>
        <v/>
      </c>
      <c r="F174" s="9" t="str">
        <f t="shared" si="28"/>
        <v/>
      </c>
      <c r="G174" s="9" t="str">
        <f t="shared" si="25"/>
        <v/>
      </c>
    </row>
    <row r="175" spans="1:7">
      <c r="A175" s="3">
        <v>165</v>
      </c>
      <c r="B175" s="27" t="str">
        <f t="shared" si="26"/>
        <v/>
      </c>
      <c r="C175" s="9" t="str">
        <f t="shared" si="23"/>
        <v/>
      </c>
      <c r="D175" s="9" t="str">
        <f t="shared" si="24"/>
        <v/>
      </c>
      <c r="E175" s="9" t="str">
        <f t="shared" si="27"/>
        <v/>
      </c>
      <c r="F175" s="9" t="str">
        <f t="shared" si="28"/>
        <v/>
      </c>
      <c r="G175" s="9" t="str">
        <f t="shared" si="25"/>
        <v/>
      </c>
    </row>
    <row r="176" spans="1:7">
      <c r="A176" s="3">
        <v>166</v>
      </c>
      <c r="B176" s="27" t="str">
        <f t="shared" si="26"/>
        <v/>
      </c>
      <c r="C176" s="9" t="str">
        <f t="shared" si="23"/>
        <v/>
      </c>
      <c r="D176" s="9" t="str">
        <f t="shared" si="24"/>
        <v/>
      </c>
      <c r="E176" s="9" t="str">
        <f t="shared" si="27"/>
        <v/>
      </c>
      <c r="F176" s="9" t="str">
        <f t="shared" si="28"/>
        <v/>
      </c>
      <c r="G176" s="9" t="str">
        <f t="shared" si="25"/>
        <v/>
      </c>
    </row>
    <row r="177" spans="1:7">
      <c r="A177" s="3">
        <v>167</v>
      </c>
      <c r="B177" s="27" t="str">
        <f t="shared" si="26"/>
        <v/>
      </c>
      <c r="C177" s="9" t="str">
        <f t="shared" si="23"/>
        <v/>
      </c>
      <c r="D177" s="9" t="str">
        <f t="shared" si="24"/>
        <v/>
      </c>
      <c r="E177" s="9" t="str">
        <f t="shared" si="27"/>
        <v/>
      </c>
      <c r="F177" s="9" t="str">
        <f t="shared" si="28"/>
        <v/>
      </c>
      <c r="G177" s="9" t="str">
        <f t="shared" si="25"/>
        <v/>
      </c>
    </row>
    <row r="178" spans="1:7">
      <c r="A178" s="3">
        <v>168</v>
      </c>
      <c r="B178" s="27" t="str">
        <f t="shared" si="26"/>
        <v/>
      </c>
      <c r="C178" s="9" t="str">
        <f t="shared" si="23"/>
        <v/>
      </c>
      <c r="D178" s="9" t="str">
        <f t="shared" si="24"/>
        <v/>
      </c>
      <c r="E178" s="9" t="str">
        <f t="shared" si="27"/>
        <v/>
      </c>
      <c r="F178" s="9" t="str">
        <f t="shared" si="28"/>
        <v/>
      </c>
      <c r="G178" s="9" t="str">
        <f t="shared" si="25"/>
        <v/>
      </c>
    </row>
    <row r="179" spans="1:7">
      <c r="A179" s="3">
        <v>169</v>
      </c>
      <c r="B179" s="27" t="str">
        <f t="shared" si="26"/>
        <v/>
      </c>
      <c r="C179" s="9" t="str">
        <f t="shared" si="23"/>
        <v/>
      </c>
      <c r="D179" s="9" t="str">
        <f t="shared" si="24"/>
        <v/>
      </c>
      <c r="E179" s="9" t="str">
        <f t="shared" si="27"/>
        <v/>
      </c>
      <c r="F179" s="9" t="str">
        <f t="shared" si="28"/>
        <v/>
      </c>
      <c r="G179" s="9" t="str">
        <f t="shared" si="25"/>
        <v/>
      </c>
    </row>
    <row r="180" spans="1:7">
      <c r="A180" s="3">
        <v>170</v>
      </c>
      <c r="B180" s="27" t="str">
        <f t="shared" si="26"/>
        <v/>
      </c>
      <c r="C180" s="9" t="str">
        <f t="shared" si="23"/>
        <v/>
      </c>
      <c r="D180" s="9" t="str">
        <f t="shared" si="24"/>
        <v/>
      </c>
      <c r="E180" s="9" t="str">
        <f t="shared" si="27"/>
        <v/>
      </c>
      <c r="F180" s="9" t="str">
        <f t="shared" si="28"/>
        <v/>
      </c>
      <c r="G180" s="9" t="str">
        <f t="shared" si="25"/>
        <v/>
      </c>
    </row>
    <row r="181" spans="1:7">
      <c r="A181" s="3">
        <v>171</v>
      </c>
      <c r="B181" s="27" t="str">
        <f t="shared" si="26"/>
        <v/>
      </c>
      <c r="C181" s="9" t="str">
        <f t="shared" si="23"/>
        <v/>
      </c>
      <c r="D181" s="9" t="str">
        <f t="shared" si="24"/>
        <v/>
      </c>
      <c r="E181" s="9" t="str">
        <f t="shared" si="27"/>
        <v/>
      </c>
      <c r="F181" s="9" t="str">
        <f t="shared" si="28"/>
        <v/>
      </c>
      <c r="G181" s="9" t="str">
        <f t="shared" si="25"/>
        <v/>
      </c>
    </row>
    <row r="182" spans="1:7">
      <c r="A182" s="3">
        <v>172</v>
      </c>
      <c r="B182" s="27" t="str">
        <f t="shared" si="26"/>
        <v/>
      </c>
      <c r="C182" s="9" t="str">
        <f t="shared" si="23"/>
        <v/>
      </c>
      <c r="D182" s="9" t="str">
        <f t="shared" si="24"/>
        <v/>
      </c>
      <c r="E182" s="9" t="str">
        <f t="shared" si="27"/>
        <v/>
      </c>
      <c r="F182" s="9" t="str">
        <f t="shared" si="28"/>
        <v/>
      </c>
      <c r="G182" s="9" t="str">
        <f t="shared" si="25"/>
        <v/>
      </c>
    </row>
    <row r="183" spans="1:7">
      <c r="A183" s="3">
        <v>173</v>
      </c>
      <c r="B183" s="27" t="str">
        <f t="shared" si="26"/>
        <v/>
      </c>
      <c r="C183" s="9" t="str">
        <f t="shared" si="23"/>
        <v/>
      </c>
      <c r="D183" s="9" t="str">
        <f t="shared" si="24"/>
        <v/>
      </c>
      <c r="E183" s="9" t="str">
        <f t="shared" si="27"/>
        <v/>
      </c>
      <c r="F183" s="9" t="str">
        <f t="shared" si="28"/>
        <v/>
      </c>
      <c r="G183" s="9" t="str">
        <f t="shared" si="25"/>
        <v/>
      </c>
    </row>
    <row r="184" spans="1:7">
      <c r="A184" s="3">
        <v>174</v>
      </c>
      <c r="B184" s="27" t="str">
        <f t="shared" si="26"/>
        <v/>
      </c>
      <c r="C184" s="9" t="str">
        <f t="shared" si="23"/>
        <v/>
      </c>
      <c r="D184" s="9" t="str">
        <f t="shared" si="24"/>
        <v/>
      </c>
      <c r="E184" s="9" t="str">
        <f t="shared" si="27"/>
        <v/>
      </c>
      <c r="F184" s="9" t="str">
        <f t="shared" si="28"/>
        <v/>
      </c>
      <c r="G184" s="9" t="str">
        <f t="shared" si="25"/>
        <v/>
      </c>
    </row>
    <row r="185" spans="1:7">
      <c r="A185" s="3">
        <v>175</v>
      </c>
      <c r="B185" s="27" t="str">
        <f t="shared" si="26"/>
        <v/>
      </c>
      <c r="C185" s="9" t="str">
        <f t="shared" si="23"/>
        <v/>
      </c>
      <c r="D185" s="9" t="str">
        <f t="shared" si="24"/>
        <v/>
      </c>
      <c r="E185" s="9" t="str">
        <f t="shared" si="27"/>
        <v/>
      </c>
      <c r="F185" s="9" t="str">
        <f t="shared" si="28"/>
        <v/>
      </c>
      <c r="G185" s="9" t="str">
        <f t="shared" si="25"/>
        <v/>
      </c>
    </row>
    <row r="186" spans="1:7">
      <c r="A186" s="3">
        <v>176</v>
      </c>
      <c r="B186" s="27" t="str">
        <f t="shared" si="26"/>
        <v/>
      </c>
      <c r="C186" s="9" t="str">
        <f t="shared" si="23"/>
        <v/>
      </c>
      <c r="D186" s="9" t="str">
        <f t="shared" si="24"/>
        <v/>
      </c>
      <c r="E186" s="9" t="str">
        <f t="shared" si="27"/>
        <v/>
      </c>
      <c r="F186" s="9" t="str">
        <f t="shared" si="28"/>
        <v/>
      </c>
      <c r="G186" s="9" t="str">
        <f t="shared" si="25"/>
        <v/>
      </c>
    </row>
    <row r="187" spans="1:7">
      <c r="A187" s="3">
        <v>177</v>
      </c>
      <c r="B187" s="27" t="str">
        <f t="shared" si="26"/>
        <v/>
      </c>
      <c r="C187" s="9" t="str">
        <f t="shared" si="23"/>
        <v/>
      </c>
      <c r="D187" s="9" t="str">
        <f t="shared" si="24"/>
        <v/>
      </c>
      <c r="E187" s="9" t="str">
        <f t="shared" si="27"/>
        <v/>
      </c>
      <c r="F187" s="9" t="str">
        <f t="shared" si="28"/>
        <v/>
      </c>
      <c r="G187" s="9" t="str">
        <f t="shared" si="25"/>
        <v/>
      </c>
    </row>
    <row r="188" spans="1:7">
      <c r="A188" s="3">
        <v>178</v>
      </c>
      <c r="B188" s="27" t="str">
        <f t="shared" si="26"/>
        <v/>
      </c>
      <c r="C188" s="9" t="str">
        <f t="shared" si="23"/>
        <v/>
      </c>
      <c r="D188" s="9" t="str">
        <f t="shared" si="24"/>
        <v/>
      </c>
      <c r="E188" s="9" t="str">
        <f t="shared" si="27"/>
        <v/>
      </c>
      <c r="F188" s="9" t="str">
        <f t="shared" si="28"/>
        <v/>
      </c>
      <c r="G188" s="9" t="str">
        <f t="shared" si="25"/>
        <v/>
      </c>
    </row>
    <row r="189" spans="1:7">
      <c r="A189" s="3">
        <v>179</v>
      </c>
      <c r="B189" s="27" t="str">
        <f t="shared" si="26"/>
        <v/>
      </c>
      <c r="C189" s="9" t="str">
        <f t="shared" si="23"/>
        <v/>
      </c>
      <c r="D189" s="9" t="str">
        <f t="shared" si="24"/>
        <v/>
      </c>
      <c r="E189" s="9" t="str">
        <f t="shared" si="27"/>
        <v/>
      </c>
      <c r="F189" s="9" t="str">
        <f t="shared" si="28"/>
        <v/>
      </c>
      <c r="G189" s="9" t="str">
        <f t="shared" si="25"/>
        <v/>
      </c>
    </row>
    <row r="190" spans="1:7">
      <c r="A190" s="3">
        <v>180</v>
      </c>
      <c r="B190" s="27" t="str">
        <f t="shared" si="26"/>
        <v/>
      </c>
      <c r="C190" s="9" t="str">
        <f t="shared" si="23"/>
        <v/>
      </c>
      <c r="D190" s="9" t="str">
        <f t="shared" si="24"/>
        <v/>
      </c>
      <c r="E190" s="9" t="str">
        <f t="shared" si="27"/>
        <v/>
      </c>
      <c r="F190" s="9" t="str">
        <f t="shared" si="28"/>
        <v/>
      </c>
      <c r="G190" s="9" t="str">
        <f t="shared" si="25"/>
        <v/>
      </c>
    </row>
    <row r="191" spans="1:7">
      <c r="A191" s="3">
        <v>181</v>
      </c>
      <c r="B191" s="27" t="str">
        <f t="shared" si="26"/>
        <v/>
      </c>
      <c r="C191" s="9" t="str">
        <f t="shared" si="23"/>
        <v/>
      </c>
      <c r="D191" s="9" t="str">
        <f t="shared" si="24"/>
        <v/>
      </c>
      <c r="E191" s="9" t="str">
        <f t="shared" si="27"/>
        <v/>
      </c>
      <c r="F191" s="9" t="str">
        <f t="shared" si="28"/>
        <v/>
      </c>
      <c r="G191" s="9" t="str">
        <f t="shared" si="25"/>
        <v/>
      </c>
    </row>
    <row r="192" spans="1:7">
      <c r="A192" s="3">
        <v>182</v>
      </c>
      <c r="B192" s="27" t="str">
        <f t="shared" si="26"/>
        <v/>
      </c>
      <c r="C192" s="9" t="str">
        <f t="shared" si="23"/>
        <v/>
      </c>
      <c r="D192" s="9" t="str">
        <f t="shared" si="24"/>
        <v/>
      </c>
      <c r="E192" s="9" t="str">
        <f t="shared" si="27"/>
        <v/>
      </c>
      <c r="F192" s="9" t="str">
        <f t="shared" si="28"/>
        <v/>
      </c>
      <c r="G192" s="9" t="str">
        <f t="shared" si="25"/>
        <v/>
      </c>
    </row>
    <row r="193" spans="1:7">
      <c r="A193" s="3">
        <v>183</v>
      </c>
      <c r="B193" s="27" t="str">
        <f t="shared" si="26"/>
        <v/>
      </c>
      <c r="C193" s="9" t="str">
        <f t="shared" si="23"/>
        <v/>
      </c>
      <c r="D193" s="9" t="str">
        <f t="shared" si="24"/>
        <v/>
      </c>
      <c r="E193" s="9" t="str">
        <f t="shared" si="27"/>
        <v/>
      </c>
      <c r="F193" s="9" t="str">
        <f t="shared" si="28"/>
        <v/>
      </c>
      <c r="G193" s="9" t="str">
        <f t="shared" si="25"/>
        <v/>
      </c>
    </row>
    <row r="194" spans="1:7">
      <c r="A194" s="3">
        <v>184</v>
      </c>
      <c r="B194" s="27" t="str">
        <f t="shared" si="26"/>
        <v/>
      </c>
      <c r="C194" s="9" t="str">
        <f t="shared" si="23"/>
        <v/>
      </c>
      <c r="D194" s="9" t="str">
        <f t="shared" si="24"/>
        <v/>
      </c>
      <c r="E194" s="9" t="str">
        <f t="shared" si="27"/>
        <v/>
      </c>
      <c r="F194" s="9" t="str">
        <f t="shared" si="28"/>
        <v/>
      </c>
      <c r="G194" s="9" t="str">
        <f t="shared" si="25"/>
        <v/>
      </c>
    </row>
    <row r="195" spans="1:7">
      <c r="A195" s="3">
        <v>185</v>
      </c>
      <c r="B195" s="27" t="str">
        <f t="shared" si="26"/>
        <v/>
      </c>
      <c r="C195" s="9" t="str">
        <f t="shared" si="23"/>
        <v/>
      </c>
      <c r="D195" s="9" t="str">
        <f t="shared" si="24"/>
        <v/>
      </c>
      <c r="E195" s="9" t="str">
        <f t="shared" si="27"/>
        <v/>
      </c>
      <c r="F195" s="9" t="str">
        <f t="shared" si="28"/>
        <v/>
      </c>
      <c r="G195" s="9" t="str">
        <f t="shared" si="25"/>
        <v/>
      </c>
    </row>
    <row r="196" spans="1:7">
      <c r="A196" s="3">
        <v>186</v>
      </c>
      <c r="B196" s="27" t="str">
        <f t="shared" si="26"/>
        <v/>
      </c>
      <c r="C196" s="9" t="str">
        <f t="shared" si="23"/>
        <v/>
      </c>
      <c r="D196" s="9" t="str">
        <f t="shared" si="24"/>
        <v/>
      </c>
      <c r="E196" s="9" t="str">
        <f t="shared" si="27"/>
        <v/>
      </c>
      <c r="F196" s="9" t="str">
        <f t="shared" si="28"/>
        <v/>
      </c>
      <c r="G196" s="9" t="str">
        <f t="shared" si="25"/>
        <v/>
      </c>
    </row>
    <row r="197" spans="1:7">
      <c r="A197" s="3">
        <v>187</v>
      </c>
      <c r="B197" s="27" t="str">
        <f t="shared" si="26"/>
        <v/>
      </c>
      <c r="C197" s="9" t="str">
        <f t="shared" si="23"/>
        <v/>
      </c>
      <c r="D197" s="9" t="str">
        <f t="shared" si="24"/>
        <v/>
      </c>
      <c r="E197" s="9" t="str">
        <f t="shared" si="27"/>
        <v/>
      </c>
      <c r="F197" s="9" t="str">
        <f t="shared" si="28"/>
        <v/>
      </c>
      <c r="G197" s="9" t="str">
        <f t="shared" si="25"/>
        <v/>
      </c>
    </row>
    <row r="198" spans="1:7">
      <c r="A198" s="3">
        <v>188</v>
      </c>
      <c r="B198" s="27" t="str">
        <f t="shared" si="26"/>
        <v/>
      </c>
      <c r="C198" s="9" t="str">
        <f t="shared" si="23"/>
        <v/>
      </c>
      <c r="D198" s="9" t="str">
        <f t="shared" si="24"/>
        <v/>
      </c>
      <c r="E198" s="9" t="str">
        <f t="shared" si="27"/>
        <v/>
      </c>
      <c r="F198" s="9" t="str">
        <f t="shared" si="28"/>
        <v/>
      </c>
      <c r="G198" s="9" t="str">
        <f t="shared" si="25"/>
        <v/>
      </c>
    </row>
    <row r="199" spans="1:7">
      <c r="A199" s="3">
        <v>189</v>
      </c>
      <c r="B199" s="27" t="str">
        <f t="shared" si="26"/>
        <v/>
      </c>
      <c r="C199" s="9" t="str">
        <f t="shared" si="23"/>
        <v/>
      </c>
      <c r="D199" s="9" t="str">
        <f t="shared" si="24"/>
        <v/>
      </c>
      <c r="E199" s="9" t="str">
        <f t="shared" si="27"/>
        <v/>
      </c>
      <c r="F199" s="9" t="str">
        <f t="shared" si="28"/>
        <v/>
      </c>
      <c r="G199" s="9" t="str">
        <f t="shared" si="25"/>
        <v/>
      </c>
    </row>
    <row r="200" spans="1:7">
      <c r="A200" s="3">
        <v>190</v>
      </c>
      <c r="B200" s="27" t="str">
        <f t="shared" si="26"/>
        <v/>
      </c>
      <c r="C200" s="9" t="str">
        <f t="shared" si="23"/>
        <v/>
      </c>
      <c r="D200" s="9" t="str">
        <f t="shared" si="24"/>
        <v/>
      </c>
      <c r="E200" s="9" t="str">
        <f t="shared" si="27"/>
        <v/>
      </c>
      <c r="F200" s="9" t="str">
        <f t="shared" si="28"/>
        <v/>
      </c>
      <c r="G200" s="9" t="str">
        <f t="shared" si="25"/>
        <v/>
      </c>
    </row>
    <row r="201" spans="1:7">
      <c r="A201" s="3">
        <v>191</v>
      </c>
      <c r="B201" s="27" t="str">
        <f t="shared" si="26"/>
        <v/>
      </c>
      <c r="C201" s="9" t="str">
        <f t="shared" si="23"/>
        <v/>
      </c>
      <c r="D201" s="9" t="str">
        <f t="shared" si="24"/>
        <v/>
      </c>
      <c r="E201" s="9" t="str">
        <f t="shared" si="27"/>
        <v/>
      </c>
      <c r="F201" s="9" t="str">
        <f t="shared" si="28"/>
        <v/>
      </c>
      <c r="G201" s="9" t="str">
        <f t="shared" si="25"/>
        <v/>
      </c>
    </row>
    <row r="202" spans="1:7">
      <c r="A202" s="3">
        <v>192</v>
      </c>
      <c r="B202" s="27" t="str">
        <f t="shared" si="26"/>
        <v/>
      </c>
      <c r="C202" s="9" t="str">
        <f t="shared" si="23"/>
        <v/>
      </c>
      <c r="D202" s="9" t="str">
        <f t="shared" si="24"/>
        <v/>
      </c>
      <c r="E202" s="9" t="str">
        <f t="shared" si="27"/>
        <v/>
      </c>
      <c r="F202" s="9" t="str">
        <f t="shared" si="28"/>
        <v/>
      </c>
      <c r="G202" s="9" t="str">
        <f t="shared" si="25"/>
        <v/>
      </c>
    </row>
    <row r="203" spans="1:7">
      <c r="A203" s="3">
        <v>193</v>
      </c>
      <c r="B203" s="27" t="str">
        <f t="shared" ref="B203:B210" si="29">IF(A203&gt;$J$4,"",A203)</f>
        <v/>
      </c>
      <c r="C203" s="9" t="str">
        <f t="shared" si="23"/>
        <v/>
      </c>
      <c r="D203" s="9" t="str">
        <f t="shared" si="24"/>
        <v/>
      </c>
      <c r="E203" s="9" t="str">
        <f t="shared" ref="E203:E210" si="30">IF(B203="","",IF(B203&gt;$J$2,$J$8,0))</f>
        <v/>
      </c>
      <c r="F203" s="9" t="str">
        <f t="shared" ref="F203:F210" si="31">IF(B203="","",IF(B203&gt;$J$2,$J$9,0))</f>
        <v/>
      </c>
      <c r="G203" s="9" t="str">
        <f>IF(C203="","",IF(B203&gt;$J$2,$J$5,0))</f>
        <v/>
      </c>
    </row>
    <row r="204" spans="1:7">
      <c r="A204" s="3">
        <v>194</v>
      </c>
      <c r="B204" s="27" t="str">
        <f t="shared" si="29"/>
        <v/>
      </c>
      <c r="C204" s="9" t="str">
        <f t="shared" ref="C204:C210" si="32">IF(B204="","",IF(B204&gt;$J$2,$J$6,0))</f>
        <v/>
      </c>
      <c r="D204" s="9" t="str">
        <f t="shared" ref="D204:D210" si="33">IF(B204="","",IF(B204&gt;$J$2,$J$7,0))</f>
        <v/>
      </c>
      <c r="E204" s="9" t="str">
        <f t="shared" si="30"/>
        <v/>
      </c>
      <c r="F204" s="9" t="str">
        <f t="shared" si="31"/>
        <v/>
      </c>
      <c r="G204" s="9" t="str">
        <f t="shared" ref="G204:G210" si="34">IF(C204="","",IF(B204&gt;$J$2,$J$5,0))</f>
        <v/>
      </c>
    </row>
    <row r="205" spans="1:7">
      <c r="A205" s="3">
        <v>195</v>
      </c>
      <c r="B205" s="27" t="str">
        <f t="shared" si="29"/>
        <v/>
      </c>
      <c r="C205" s="9" t="str">
        <f t="shared" si="32"/>
        <v/>
      </c>
      <c r="D205" s="9" t="str">
        <f t="shared" si="33"/>
        <v/>
      </c>
      <c r="E205" s="9" t="str">
        <f t="shared" si="30"/>
        <v/>
      </c>
      <c r="F205" s="9" t="str">
        <f t="shared" si="31"/>
        <v/>
      </c>
      <c r="G205" s="9" t="str">
        <f t="shared" si="34"/>
        <v/>
      </c>
    </row>
    <row r="206" spans="1:7">
      <c r="A206" s="3">
        <v>196</v>
      </c>
      <c r="B206" s="27" t="str">
        <f t="shared" si="29"/>
        <v/>
      </c>
      <c r="C206" s="9" t="str">
        <f t="shared" si="32"/>
        <v/>
      </c>
      <c r="D206" s="9" t="str">
        <f t="shared" si="33"/>
        <v/>
      </c>
      <c r="E206" s="9" t="str">
        <f t="shared" si="30"/>
        <v/>
      </c>
      <c r="F206" s="9" t="str">
        <f t="shared" si="31"/>
        <v/>
      </c>
      <c r="G206" s="9" t="str">
        <f t="shared" si="34"/>
        <v/>
      </c>
    </row>
    <row r="207" spans="1:7">
      <c r="A207" s="3">
        <v>197</v>
      </c>
      <c r="B207" s="27" t="str">
        <f t="shared" si="29"/>
        <v/>
      </c>
      <c r="C207" s="9" t="str">
        <f t="shared" si="32"/>
        <v/>
      </c>
      <c r="D207" s="9" t="str">
        <f t="shared" si="33"/>
        <v/>
      </c>
      <c r="E207" s="9" t="str">
        <f t="shared" si="30"/>
        <v/>
      </c>
      <c r="F207" s="9" t="str">
        <f t="shared" si="31"/>
        <v/>
      </c>
      <c r="G207" s="9" t="str">
        <f t="shared" si="34"/>
        <v/>
      </c>
    </row>
    <row r="208" spans="1:7">
      <c r="A208" s="3">
        <v>198</v>
      </c>
      <c r="B208" s="27" t="str">
        <f t="shared" si="29"/>
        <v/>
      </c>
      <c r="C208" s="9" t="str">
        <f t="shared" si="32"/>
        <v/>
      </c>
      <c r="D208" s="9" t="str">
        <f t="shared" si="33"/>
        <v/>
      </c>
      <c r="E208" s="9" t="str">
        <f t="shared" si="30"/>
        <v/>
      </c>
      <c r="F208" s="9" t="str">
        <f t="shared" si="31"/>
        <v/>
      </c>
      <c r="G208" s="9" t="str">
        <f t="shared" si="34"/>
        <v/>
      </c>
    </row>
    <row r="209" spans="1:7">
      <c r="A209" s="3">
        <v>199</v>
      </c>
      <c r="B209" s="27" t="str">
        <f t="shared" si="29"/>
        <v/>
      </c>
      <c r="C209" s="9" t="str">
        <f t="shared" si="32"/>
        <v/>
      </c>
      <c r="D209" s="9" t="str">
        <f t="shared" si="33"/>
        <v/>
      </c>
      <c r="E209" s="9" t="str">
        <f t="shared" si="30"/>
        <v/>
      </c>
      <c r="F209" s="9" t="str">
        <f t="shared" si="31"/>
        <v/>
      </c>
      <c r="G209" s="9" t="str">
        <f t="shared" si="34"/>
        <v/>
      </c>
    </row>
    <row r="210" spans="1:7">
      <c r="A210" s="3">
        <v>200</v>
      </c>
      <c r="B210" s="27" t="str">
        <f t="shared" si="29"/>
        <v/>
      </c>
      <c r="C210" s="9" t="str">
        <f t="shared" si="32"/>
        <v/>
      </c>
      <c r="D210" s="9" t="str">
        <f t="shared" si="33"/>
        <v/>
      </c>
      <c r="E210" s="9" t="str">
        <f t="shared" si="30"/>
        <v/>
      </c>
      <c r="F210" s="9" t="str">
        <f t="shared" si="31"/>
        <v/>
      </c>
      <c r="G210" s="9" t="str">
        <f t="shared" si="34"/>
        <v/>
      </c>
    </row>
    <row r="371" spans="1:1">
      <c r="A371" s="30"/>
    </row>
    <row r="372" spans="1:1">
      <c r="A372" s="30"/>
    </row>
    <row r="373" spans="1:1">
      <c r="A373" s="30"/>
    </row>
    <row r="374" spans="1:1">
      <c r="A374" s="30"/>
    </row>
    <row r="375" spans="1:1">
      <c r="A375" s="30"/>
    </row>
    <row r="376" spans="1:1">
      <c r="A376" s="30"/>
    </row>
    <row r="377" spans="1:1">
      <c r="A377" s="30"/>
    </row>
    <row r="378" spans="1:1">
      <c r="A378" s="30"/>
    </row>
    <row r="379" spans="1:1">
      <c r="A379" s="30"/>
    </row>
    <row r="380" spans="1:1">
      <c r="A380" s="30"/>
    </row>
    <row r="381" spans="1:1">
      <c r="A381" s="30"/>
    </row>
    <row r="382" spans="1:1">
      <c r="A382" s="30"/>
    </row>
    <row r="383" spans="1:1">
      <c r="A383" s="30"/>
    </row>
    <row r="384" spans="1:1">
      <c r="A384" s="30"/>
    </row>
    <row r="385" spans="1:1">
      <c r="A385" s="30"/>
    </row>
    <row r="386" spans="1:1">
      <c r="A386" s="30"/>
    </row>
    <row r="387" spans="1:1">
      <c r="A387" s="30"/>
    </row>
    <row r="388" spans="1:1">
      <c r="A388" s="30"/>
    </row>
    <row r="389" spans="1:1">
      <c r="A389" s="30"/>
    </row>
    <row r="390" spans="1:1">
      <c r="A390" s="30"/>
    </row>
    <row r="391" spans="1:1">
      <c r="A391" s="30"/>
    </row>
    <row r="392" spans="1:1">
      <c r="A392" s="30"/>
    </row>
    <row r="393" spans="1:1">
      <c r="A393" s="30"/>
    </row>
    <row r="394" spans="1:1">
      <c r="A394" s="30"/>
    </row>
    <row r="395" spans="1:1">
      <c r="A395" s="30"/>
    </row>
    <row r="396" spans="1:1">
      <c r="A396" s="30"/>
    </row>
    <row r="397" spans="1:1">
      <c r="A397" s="30"/>
    </row>
    <row r="398" spans="1:1">
      <c r="A398" s="30"/>
    </row>
    <row r="399" spans="1:1">
      <c r="A399" s="30"/>
    </row>
    <row r="400" spans="1:1">
      <c r="A400" s="30"/>
    </row>
    <row r="401" spans="1:1">
      <c r="A401" s="30"/>
    </row>
    <row r="402" spans="1:1">
      <c r="A402" s="30"/>
    </row>
    <row r="403" spans="1:1">
      <c r="A403" s="30"/>
    </row>
    <row r="404" spans="1:1">
      <c r="A404" s="30"/>
    </row>
    <row r="405" spans="1:1">
      <c r="A405" s="30"/>
    </row>
    <row r="406" spans="1:1">
      <c r="A406" s="30"/>
    </row>
    <row r="407" spans="1:1">
      <c r="A407" s="30"/>
    </row>
    <row r="408" spans="1:1">
      <c r="A408" s="30"/>
    </row>
    <row r="409" spans="1:1">
      <c r="A409" s="30"/>
    </row>
    <row r="410" spans="1:1">
      <c r="A410" s="30"/>
    </row>
    <row r="411" spans="1:1">
      <c r="A411" s="30"/>
    </row>
    <row r="412" spans="1:1">
      <c r="A412" s="30"/>
    </row>
    <row r="413" spans="1:1">
      <c r="A413" s="30"/>
    </row>
    <row r="414" spans="1:1">
      <c r="A414" s="30"/>
    </row>
    <row r="415" spans="1:1">
      <c r="A415" s="30"/>
    </row>
    <row r="416" spans="1:1">
      <c r="A416" s="30"/>
    </row>
    <row r="417" spans="1:1">
      <c r="A417" s="30"/>
    </row>
    <row r="418" spans="1:1">
      <c r="A418" s="30"/>
    </row>
    <row r="419" spans="1:1">
      <c r="A419" s="30"/>
    </row>
    <row r="420" spans="1:1">
      <c r="A420" s="30"/>
    </row>
    <row r="421" spans="1:1">
      <c r="A421" s="30"/>
    </row>
    <row r="422" spans="1:1">
      <c r="A422" s="30"/>
    </row>
    <row r="423" spans="1:1">
      <c r="A423" s="30"/>
    </row>
    <row r="424" spans="1:1">
      <c r="A424" s="30"/>
    </row>
    <row r="425" spans="1:1">
      <c r="A425" s="30"/>
    </row>
    <row r="426" spans="1:1">
      <c r="A426" s="30"/>
    </row>
    <row r="427" spans="1:1">
      <c r="A427" s="30"/>
    </row>
    <row r="428" spans="1:1">
      <c r="A428" s="30"/>
    </row>
    <row r="429" spans="1:1">
      <c r="A429" s="30"/>
    </row>
    <row r="430" spans="1:1">
      <c r="A430" s="30"/>
    </row>
    <row r="431" spans="1:1">
      <c r="A431" s="30"/>
    </row>
    <row r="432" spans="1:1">
      <c r="A432" s="30"/>
    </row>
    <row r="433" spans="1:1">
      <c r="A433" s="30"/>
    </row>
    <row r="434" spans="1:1">
      <c r="A434" s="30"/>
    </row>
    <row r="435" spans="1:1">
      <c r="A435" s="30"/>
    </row>
    <row r="436" spans="1:1">
      <c r="A436" s="30"/>
    </row>
    <row r="437" spans="1:1">
      <c r="A437" s="30"/>
    </row>
    <row r="438" spans="1:1">
      <c r="A438" s="30"/>
    </row>
    <row r="439" spans="1:1">
      <c r="A439" s="30"/>
    </row>
    <row r="440" spans="1:1">
      <c r="A440" s="30"/>
    </row>
    <row r="441" spans="1:1">
      <c r="A441" s="30"/>
    </row>
    <row r="442" spans="1:1">
      <c r="A442" s="30"/>
    </row>
    <row r="443" spans="1:1">
      <c r="A443" s="30"/>
    </row>
    <row r="444" spans="1:1">
      <c r="A444" s="30"/>
    </row>
    <row r="445" spans="1:1">
      <c r="A445" s="30"/>
    </row>
    <row r="446" spans="1:1">
      <c r="A446" s="30"/>
    </row>
    <row r="447" spans="1:1">
      <c r="A447" s="30"/>
    </row>
    <row r="448" spans="1:1">
      <c r="A448" s="30"/>
    </row>
    <row r="449" spans="1:1">
      <c r="A449" s="30"/>
    </row>
    <row r="450" spans="1:1">
      <c r="A450" s="30"/>
    </row>
    <row r="451" spans="1:1">
      <c r="A451" s="30"/>
    </row>
    <row r="452" spans="1:1">
      <c r="A452" s="30"/>
    </row>
    <row r="453" spans="1:1">
      <c r="A453" s="30"/>
    </row>
    <row r="454" spans="1:1">
      <c r="A454" s="30"/>
    </row>
    <row r="455" spans="1:1">
      <c r="A455" s="30"/>
    </row>
    <row r="456" spans="1:1">
      <c r="A456" s="30"/>
    </row>
    <row r="457" spans="1:1">
      <c r="A457" s="30"/>
    </row>
    <row r="458" spans="1:1">
      <c r="A458" s="30"/>
    </row>
    <row r="459" spans="1:1">
      <c r="A459" s="30"/>
    </row>
    <row r="460" spans="1:1">
      <c r="A460" s="30"/>
    </row>
    <row r="461" spans="1:1">
      <c r="A461" s="30"/>
    </row>
    <row r="462" spans="1:1">
      <c r="A462" s="30"/>
    </row>
    <row r="463" spans="1:1">
      <c r="A463" s="30"/>
    </row>
    <row r="464" spans="1:1">
      <c r="A464" s="30"/>
    </row>
    <row r="465" spans="1:1">
      <c r="A465" s="30"/>
    </row>
    <row r="466" spans="1:1">
      <c r="A466" s="30"/>
    </row>
    <row r="467" spans="1:1">
      <c r="A467" s="30"/>
    </row>
    <row r="468" spans="1:1">
      <c r="A468" s="30"/>
    </row>
    <row r="469" spans="1:1">
      <c r="A469" s="30"/>
    </row>
    <row r="470" spans="1:1">
      <c r="A470" s="30"/>
    </row>
    <row r="471" spans="1:1">
      <c r="A471" s="30"/>
    </row>
    <row r="472" spans="1:1">
      <c r="A472" s="30"/>
    </row>
    <row r="473" spans="1:1">
      <c r="A473" s="30"/>
    </row>
    <row r="474" spans="1:1">
      <c r="A474" s="30"/>
    </row>
    <row r="475" spans="1:1">
      <c r="A475" s="30"/>
    </row>
    <row r="476" spans="1:1">
      <c r="A476" s="30"/>
    </row>
    <row r="477" spans="1:1">
      <c r="A477" s="30"/>
    </row>
    <row r="478" spans="1:1">
      <c r="A478" s="30"/>
    </row>
    <row r="479" spans="1:1">
      <c r="A479" s="30"/>
    </row>
    <row r="480" spans="1:1">
      <c r="A480" s="30"/>
    </row>
    <row r="481" spans="1:1">
      <c r="A481" s="30"/>
    </row>
    <row r="482" spans="1:1">
      <c r="A482" s="30"/>
    </row>
    <row r="483" spans="1:1">
      <c r="A483" s="30"/>
    </row>
    <row r="484" spans="1:1">
      <c r="A484" s="30"/>
    </row>
    <row r="485" spans="1:1">
      <c r="A485" s="30"/>
    </row>
    <row r="486" spans="1:1">
      <c r="A486" s="30"/>
    </row>
    <row r="487" spans="1:1">
      <c r="A487" s="30"/>
    </row>
    <row r="488" spans="1:1">
      <c r="A488" s="30"/>
    </row>
    <row r="489" spans="1:1">
      <c r="A489" s="30"/>
    </row>
    <row r="490" spans="1:1">
      <c r="A490" s="30"/>
    </row>
    <row r="491" spans="1:1">
      <c r="A491" s="30"/>
    </row>
    <row r="492" spans="1:1">
      <c r="A492" s="30"/>
    </row>
    <row r="493" spans="1:1">
      <c r="A493" s="30"/>
    </row>
    <row r="494" spans="1:1">
      <c r="A494" s="30"/>
    </row>
    <row r="495" spans="1:1">
      <c r="A495" s="30"/>
    </row>
    <row r="496" spans="1:1">
      <c r="A496" s="30"/>
    </row>
    <row r="497" spans="1:1">
      <c r="A497" s="30"/>
    </row>
    <row r="498" spans="1:1">
      <c r="A498" s="30"/>
    </row>
    <row r="499" spans="1:1">
      <c r="A499" s="30"/>
    </row>
    <row r="500" spans="1:1">
      <c r="A500" s="30"/>
    </row>
    <row r="501" spans="1:1">
      <c r="A501" s="30"/>
    </row>
    <row r="502" spans="1:1">
      <c r="A502" s="30"/>
    </row>
    <row r="503" spans="1:1">
      <c r="A503" s="30"/>
    </row>
    <row r="504" spans="1:1">
      <c r="A504" s="30"/>
    </row>
    <row r="505" spans="1:1">
      <c r="A505" s="30"/>
    </row>
    <row r="506" spans="1:1">
      <c r="A506" s="30"/>
    </row>
    <row r="507" spans="1:1">
      <c r="A507" s="30"/>
    </row>
    <row r="508" spans="1:1">
      <c r="A508" s="30"/>
    </row>
    <row r="509" spans="1:1">
      <c r="A509" s="30"/>
    </row>
    <row r="510" spans="1:1">
      <c r="A510" s="30"/>
    </row>
    <row r="511" spans="1:1">
      <c r="A511" s="30"/>
    </row>
    <row r="512" spans="1:1">
      <c r="A512" s="30"/>
    </row>
    <row r="513" spans="1:1">
      <c r="A513" s="30"/>
    </row>
    <row r="514" spans="1:1">
      <c r="A514" s="30"/>
    </row>
    <row r="515" spans="1:1">
      <c r="A515" s="30"/>
    </row>
    <row r="516" spans="1:1">
      <c r="A516" s="30"/>
    </row>
    <row r="517" spans="1:1">
      <c r="A517" s="30"/>
    </row>
    <row r="518" spans="1:1">
      <c r="A518" s="30"/>
    </row>
    <row r="519" spans="1:1">
      <c r="A519" s="30"/>
    </row>
    <row r="520" spans="1:1">
      <c r="A520" s="30"/>
    </row>
    <row r="521" spans="1:1">
      <c r="A521" s="30"/>
    </row>
    <row r="522" spans="1:1">
      <c r="A522" s="30"/>
    </row>
    <row r="523" spans="1:1">
      <c r="A523" s="30"/>
    </row>
    <row r="524" spans="1:1">
      <c r="A524" s="30"/>
    </row>
    <row r="525" spans="1:1">
      <c r="A525" s="30"/>
    </row>
    <row r="526" spans="1:1">
      <c r="A526" s="30"/>
    </row>
    <row r="527" spans="1:1">
      <c r="A527" s="30"/>
    </row>
    <row r="528" spans="1:1">
      <c r="A528" s="30"/>
    </row>
    <row r="529" spans="1:1">
      <c r="A529" s="30"/>
    </row>
    <row r="530" spans="1:1">
      <c r="A530" s="30"/>
    </row>
    <row r="531" spans="1:1">
      <c r="A531" s="30"/>
    </row>
    <row r="532" spans="1:1">
      <c r="A532" s="30"/>
    </row>
    <row r="533" spans="1:1">
      <c r="A533" s="30"/>
    </row>
    <row r="534" spans="1:1">
      <c r="A534" s="30"/>
    </row>
    <row r="535" spans="1:1">
      <c r="A535" s="30"/>
    </row>
    <row r="536" spans="1:1">
      <c r="A536" s="30"/>
    </row>
    <row r="537" spans="1:1">
      <c r="A537" s="30"/>
    </row>
    <row r="538" spans="1:1">
      <c r="A538" s="30"/>
    </row>
    <row r="539" spans="1:1">
      <c r="A539" s="30"/>
    </row>
    <row r="540" spans="1:1">
      <c r="A540" s="30"/>
    </row>
    <row r="541" spans="1:1">
      <c r="A541" s="30"/>
    </row>
    <row r="542" spans="1:1">
      <c r="A542" s="30"/>
    </row>
    <row r="543" spans="1:1">
      <c r="A543" s="30"/>
    </row>
    <row r="544" spans="1:1">
      <c r="A544" s="30"/>
    </row>
    <row r="545" spans="1:1">
      <c r="A545" s="30"/>
    </row>
    <row r="546" spans="1:1">
      <c r="A546" s="30"/>
    </row>
    <row r="547" spans="1:1">
      <c r="A547" s="30"/>
    </row>
    <row r="548" spans="1:1">
      <c r="A548" s="30"/>
    </row>
    <row r="549" spans="1:1">
      <c r="A549" s="30"/>
    </row>
    <row r="550" spans="1:1">
      <c r="A550" s="30"/>
    </row>
  </sheetData>
  <mergeCells count="4">
    <mergeCell ref="A1:J1"/>
    <mergeCell ref="A8:A10"/>
    <mergeCell ref="B8:B9"/>
    <mergeCell ref="C8:G8"/>
  </mergeCells>
  <pageMargins left="0.7" right="0.7" top="0.75" bottom="0.75" header="0.3" footer="0.3"/>
  <pageSetup paperSize="9" orientation="portrait" r:id="rId1"/>
  <headerFooter>
    <oddFooter>&amp;R&amp;1#&amp;"Calibri"&amp;10&amp;K0000FFClassification :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04F2-0E4A-4C81-99AE-A3407302DB0D}">
  <sheetPr>
    <tabColor rgb="FFFF0000"/>
  </sheetPr>
  <dimension ref="A1:N70"/>
  <sheetViews>
    <sheetView workbookViewId="0">
      <selection activeCell="N70" sqref="N70"/>
    </sheetView>
  </sheetViews>
  <sheetFormatPr baseColWidth="10" defaultColWidth="11.453125" defaultRowHeight="12.5"/>
  <cols>
    <col min="1" max="1" width="14" bestFit="1" customWidth="1"/>
    <col min="2" max="2" width="28.54296875" customWidth="1"/>
    <col min="3" max="3" width="12.453125" bestFit="1" customWidth="1"/>
    <col min="4" max="4" width="12.7265625" bestFit="1" customWidth="1"/>
    <col min="5" max="6" width="12.7265625" customWidth="1"/>
    <col min="7" max="10" width="11.54296875"/>
    <col min="11" max="11" width="11.54296875" style="222"/>
    <col min="12" max="12" width="11.54296875"/>
    <col min="14" max="14" width="28.54296875" customWidth="1"/>
  </cols>
  <sheetData>
    <row r="1" spans="1:14" ht="14.5">
      <c r="B1" s="223"/>
      <c r="N1" s="221" t="s">
        <v>126</v>
      </c>
    </row>
    <row r="2" spans="1:14" ht="14.5">
      <c r="A2" s="218" t="s">
        <v>127</v>
      </c>
      <c r="B2" s="218" t="s">
        <v>128</v>
      </c>
      <c r="C2" s="218" t="s">
        <v>129</v>
      </c>
      <c r="D2" s="218" t="s">
        <v>130</v>
      </c>
      <c r="E2" s="218" t="s">
        <v>131</v>
      </c>
      <c r="F2" s="218" t="s">
        <v>132</v>
      </c>
      <c r="G2" s="218" t="s">
        <v>133</v>
      </c>
      <c r="H2" s="218" t="s">
        <v>115</v>
      </c>
      <c r="I2" s="218" t="s">
        <v>134</v>
      </c>
      <c r="J2" s="218" t="s">
        <v>135</v>
      </c>
      <c r="K2" s="218" t="s">
        <v>136</v>
      </c>
      <c r="N2" s="221" t="str">
        <f>IF(_xlfn.XLOOKUP("3 X gratuit",B:B,K:K)="X","3 X gratuit","-")</f>
        <v>3 X gratuit</v>
      </c>
    </row>
    <row r="3" spans="1:14" ht="14.5">
      <c r="A3" s="224" t="s">
        <v>137</v>
      </c>
      <c r="B3" s="221" t="s">
        <v>138</v>
      </c>
      <c r="C3" s="227">
        <v>49</v>
      </c>
      <c r="D3" s="220">
        <v>3000</v>
      </c>
      <c r="E3" s="220">
        <v>3</v>
      </c>
      <c r="F3" s="220">
        <v>3</v>
      </c>
      <c r="G3" s="219">
        <v>0.122</v>
      </c>
      <c r="H3" s="219">
        <v>0.12905839308021672</v>
      </c>
      <c r="I3" s="219">
        <v>0</v>
      </c>
      <c r="J3" s="220">
        <v>284</v>
      </c>
      <c r="K3" s="247" t="s">
        <v>139</v>
      </c>
      <c r="N3" s="221" t="str">
        <f>IF(_xlfn.XLOOKUP("5 X gratuit",B:B,K:K)="X","5 X gratuit","-")</f>
        <v>5 X gratuit</v>
      </c>
    </row>
    <row r="4" spans="1:14" ht="14.5">
      <c r="B4" s="221" t="s">
        <v>11</v>
      </c>
      <c r="C4" s="227">
        <v>80</v>
      </c>
      <c r="D4" s="220">
        <v>3000</v>
      </c>
      <c r="E4" s="220">
        <v>5</v>
      </c>
      <c r="F4" s="220">
        <v>5</v>
      </c>
      <c r="G4" s="219">
        <v>8.1299999999999997E-2</v>
      </c>
      <c r="H4" s="219">
        <v>8.439891042582004E-2</v>
      </c>
      <c r="I4" s="219">
        <v>0</v>
      </c>
      <c r="J4" s="220">
        <v>284</v>
      </c>
      <c r="K4" s="247" t="s">
        <v>139</v>
      </c>
      <c r="N4" s="221" t="str">
        <f>IF(_xlfn.XLOOKUP("10 X gratuit",B:B,K:K)="X","10 X gratuit","-")</f>
        <v>-</v>
      </c>
    </row>
    <row r="5" spans="1:14" ht="14.5">
      <c r="B5" s="221" t="s">
        <v>140</v>
      </c>
      <c r="C5" s="227">
        <v>160</v>
      </c>
      <c r="D5" s="220">
        <v>3000.99</v>
      </c>
      <c r="E5" s="220">
        <v>10</v>
      </c>
      <c r="F5" s="220">
        <v>10</v>
      </c>
      <c r="G5" s="219">
        <v>4.4299999999999999E-2</v>
      </c>
      <c r="H5" s="219">
        <v>4.5199999999999997E-2</v>
      </c>
      <c r="I5" s="219">
        <v>0</v>
      </c>
      <c r="J5" s="220">
        <v>229</v>
      </c>
      <c r="K5" s="247"/>
      <c r="N5" s="218" t="str">
        <f>IF(_xlfn.XLOOKUP("10 X gratuit Cuisine",B:B,K:K)="X","10 X gratuit Cuisine","-")</f>
        <v>10 X gratuit Cuisine</v>
      </c>
    </row>
    <row r="6" spans="1:14" ht="14.5">
      <c r="B6" s="221" t="s">
        <v>140</v>
      </c>
      <c r="C6" s="227">
        <v>3001</v>
      </c>
      <c r="D6" s="220">
        <v>6000.99</v>
      </c>
      <c r="E6" s="220">
        <v>10</v>
      </c>
      <c r="F6" s="220">
        <v>10</v>
      </c>
      <c r="G6" s="219">
        <v>4.4299999999999999E-2</v>
      </c>
      <c r="H6" s="219">
        <v>4.5199999999999997E-2</v>
      </c>
      <c r="I6" s="219">
        <v>0</v>
      </c>
      <c r="J6" s="220">
        <v>229</v>
      </c>
      <c r="K6" s="247"/>
      <c r="N6" s="221" t="str">
        <f>IF(_xlfn.XLOOKUP("12 X gratuit",B:B,K:K)="X","12 X gratuit","-")</f>
        <v>-</v>
      </c>
    </row>
    <row r="7" spans="1:14" ht="14.5">
      <c r="B7" s="221" t="s">
        <v>140</v>
      </c>
      <c r="C7" s="227">
        <v>6001</v>
      </c>
      <c r="D7" s="220">
        <v>25000</v>
      </c>
      <c r="E7" s="220">
        <v>10</v>
      </c>
      <c r="F7" s="220">
        <v>10</v>
      </c>
      <c r="G7" s="219">
        <v>4.4299999999999999E-2</v>
      </c>
      <c r="H7" s="219">
        <v>4.5199999999999997E-2</v>
      </c>
      <c r="I7" s="219">
        <v>0</v>
      </c>
      <c r="J7" s="220">
        <v>229</v>
      </c>
      <c r="K7" s="247"/>
      <c r="N7" s="221" t="str">
        <f>IF(_xlfn.XLOOKUP("12 X gratuit cuisine",B:B,K:K)="X","12 X gratuit cuisine","-")</f>
        <v>12 X gratuit cuisine</v>
      </c>
    </row>
    <row r="8" spans="1:14" ht="14.5">
      <c r="B8" s="218" t="s">
        <v>141</v>
      </c>
      <c r="C8" s="227">
        <v>160</v>
      </c>
      <c r="D8" s="220">
        <v>3000.99</v>
      </c>
      <c r="E8" s="220">
        <v>10</v>
      </c>
      <c r="F8" s="220">
        <v>10</v>
      </c>
      <c r="G8" s="219">
        <v>4.4299999999999999E-2</v>
      </c>
      <c r="H8" s="219">
        <v>4.5199999999999997E-2</v>
      </c>
      <c r="I8" s="219">
        <v>0</v>
      </c>
      <c r="J8" s="220">
        <v>160</v>
      </c>
      <c r="K8" s="247" t="s">
        <v>139</v>
      </c>
      <c r="N8" s="221" t="str">
        <f>IF(_xlfn.XLOOKUP("20 X gratuit",B:B,K:K)="X","20 X gratuit","-")</f>
        <v>-</v>
      </c>
    </row>
    <row r="9" spans="1:14" ht="14.5">
      <c r="B9" s="218" t="s">
        <v>141</v>
      </c>
      <c r="C9" s="227">
        <v>3001</v>
      </c>
      <c r="D9" s="220">
        <v>6000.99</v>
      </c>
      <c r="E9" s="220">
        <v>10</v>
      </c>
      <c r="F9" s="220">
        <v>10</v>
      </c>
      <c r="G9" s="219">
        <v>4.4299999999999999E-2</v>
      </c>
      <c r="H9" s="219">
        <v>4.5199999999999997E-2</v>
      </c>
      <c r="I9" s="219">
        <v>0</v>
      </c>
      <c r="J9" s="220">
        <v>160</v>
      </c>
      <c r="K9" s="247" t="s">
        <v>139</v>
      </c>
      <c r="N9" s="221" t="s">
        <v>142</v>
      </c>
    </row>
    <row r="10" spans="1:14" ht="14.5">
      <c r="B10" s="218" t="s">
        <v>141</v>
      </c>
      <c r="C10" s="227">
        <v>6001</v>
      </c>
      <c r="D10" s="220">
        <v>25000</v>
      </c>
      <c r="E10" s="220">
        <v>10</v>
      </c>
      <c r="F10" s="220">
        <v>10</v>
      </c>
      <c r="G10" s="219">
        <v>4.4299999999999999E-2</v>
      </c>
      <c r="H10" s="219">
        <v>4.5199999999999997E-2</v>
      </c>
      <c r="I10" s="219">
        <v>0</v>
      </c>
      <c r="J10" s="220">
        <v>160</v>
      </c>
      <c r="K10" s="247" t="s">
        <v>139</v>
      </c>
      <c r="N10" s="221" t="str">
        <f>IF(_xlfn.XLOOKUP("30 X gratuit",B:B,K:K)="X","30 X gratuit","-")</f>
        <v>-</v>
      </c>
    </row>
    <row r="11" spans="1:14" ht="14.5">
      <c r="B11" s="221" t="s">
        <v>143</v>
      </c>
      <c r="C11" s="227">
        <v>200</v>
      </c>
      <c r="D11" s="220">
        <v>3000.99</v>
      </c>
      <c r="E11" s="220">
        <v>12</v>
      </c>
      <c r="F11" s="220">
        <v>12</v>
      </c>
      <c r="G11" s="219">
        <v>3.7499999999999999E-2</v>
      </c>
      <c r="H11" s="219">
        <v>3.8151292560963945E-2</v>
      </c>
      <c r="I11" s="219">
        <v>0</v>
      </c>
      <c r="J11" s="220">
        <v>618</v>
      </c>
      <c r="K11" s="247"/>
      <c r="N11" s="221" t="str">
        <f>IF(_xlfn.XLOOKUP("36 X gratuit",B:B,K:K)="X","36 X gratuit","-")</f>
        <v>-</v>
      </c>
    </row>
    <row r="12" spans="1:14" ht="14.5">
      <c r="B12" s="221" t="s">
        <v>143</v>
      </c>
      <c r="C12" s="227">
        <v>3001</v>
      </c>
      <c r="D12" s="220">
        <v>6000.99</v>
      </c>
      <c r="E12" s="220">
        <v>12</v>
      </c>
      <c r="F12" s="220">
        <v>12</v>
      </c>
      <c r="G12" s="219">
        <v>3.7499999999999999E-2</v>
      </c>
      <c r="H12" s="219">
        <v>3.8151292560963945E-2</v>
      </c>
      <c r="I12" s="219">
        <v>0</v>
      </c>
      <c r="J12" s="220">
        <v>618</v>
      </c>
      <c r="K12" s="247"/>
      <c r="N12" s="221" t="str">
        <f>IF(_xlfn.XLOOKUP("48 X gratuit",B:B,K:K)="X","48 X gratuit","-")</f>
        <v>-</v>
      </c>
    </row>
    <row r="13" spans="1:14" ht="14.5">
      <c r="B13" s="221" t="s">
        <v>143</v>
      </c>
      <c r="C13" s="227">
        <v>6001</v>
      </c>
      <c r="D13" s="220">
        <v>25000</v>
      </c>
      <c r="E13" s="220">
        <v>12</v>
      </c>
      <c r="F13" s="220">
        <v>12</v>
      </c>
      <c r="G13" s="219">
        <v>3.7499999999999999E-2</v>
      </c>
      <c r="H13" s="219">
        <v>3.8151292560963945E-2</v>
      </c>
      <c r="I13" s="219">
        <v>0</v>
      </c>
      <c r="J13" s="220">
        <v>618</v>
      </c>
      <c r="K13" s="247"/>
      <c r="N13" s="221" t="str">
        <f>IF(_xlfn.XLOOKUP("60 X gratuit",B:B,K:K)="X","60 X gratuit","-")</f>
        <v>-</v>
      </c>
    </row>
    <row r="14" spans="1:14" ht="14.5">
      <c r="B14" s="221" t="s">
        <v>144</v>
      </c>
      <c r="C14" s="227">
        <v>200</v>
      </c>
      <c r="D14" s="220">
        <v>3000.99</v>
      </c>
      <c r="E14" s="220">
        <v>12</v>
      </c>
      <c r="F14" s="220">
        <v>12</v>
      </c>
      <c r="G14" s="219">
        <v>3.7499999999999999E-2</v>
      </c>
      <c r="H14" s="219">
        <v>3.8151292560963945E-2</v>
      </c>
      <c r="I14" s="219">
        <v>0</v>
      </c>
      <c r="J14" s="220">
        <v>618</v>
      </c>
      <c r="K14" s="247" t="s">
        <v>139</v>
      </c>
      <c r="N14" s="221" t="str">
        <f>IF(_xlfn.XLOOKUP("12 X compensé cuisine",B:B,K:K)="X","12 X compensé cuisine","-")</f>
        <v>12 X compensé cuisine</v>
      </c>
    </row>
    <row r="15" spans="1:14" ht="14.5">
      <c r="B15" s="221" t="s">
        <v>144</v>
      </c>
      <c r="C15" s="227">
        <v>3001</v>
      </c>
      <c r="D15" s="220">
        <v>6000.99</v>
      </c>
      <c r="E15" s="220">
        <v>12</v>
      </c>
      <c r="F15" s="220">
        <v>12</v>
      </c>
      <c r="G15" s="219">
        <v>3.7499999999999999E-2</v>
      </c>
      <c r="H15" s="219">
        <v>3.8151292560963945E-2</v>
      </c>
      <c r="I15" s="219">
        <v>0</v>
      </c>
      <c r="J15" s="220">
        <v>618</v>
      </c>
      <c r="K15" s="247" t="s">
        <v>139</v>
      </c>
      <c r="N15" s="218" t="str">
        <f>IF(_xlfn.XLOOKUP("24 X compensé cuisine",B:B,K:K)="X","24 X compensé cuisine","-")</f>
        <v>24 X compensé cuisine</v>
      </c>
    </row>
    <row r="16" spans="1:14" ht="14.5">
      <c r="B16" s="221" t="s">
        <v>144</v>
      </c>
      <c r="C16" s="227">
        <v>6001</v>
      </c>
      <c r="D16" s="220">
        <v>25000</v>
      </c>
      <c r="E16" s="220">
        <v>12</v>
      </c>
      <c r="F16" s="220">
        <v>12</v>
      </c>
      <c r="G16" s="219">
        <v>3.7499999999999999E-2</v>
      </c>
      <c r="H16" s="219">
        <v>3.8151292560963945E-2</v>
      </c>
      <c r="I16" s="219">
        <v>0</v>
      </c>
      <c r="J16" s="220">
        <v>618</v>
      </c>
      <c r="K16" s="247" t="s">
        <v>139</v>
      </c>
      <c r="N16" s="218" t="str">
        <f>IF(_xlfn.XLOOKUP("36 X compensé cuisine",B:B,K:K)="X","36 X compensé cuisine","-")</f>
        <v>36 X compensé cuisine</v>
      </c>
    </row>
    <row r="17" spans="1:14" ht="14.5">
      <c r="B17" s="221" t="s">
        <v>145</v>
      </c>
      <c r="C17" s="227">
        <v>320</v>
      </c>
      <c r="D17" s="220">
        <v>3000.99</v>
      </c>
      <c r="E17" s="220">
        <v>20</v>
      </c>
      <c r="F17" s="220">
        <v>20</v>
      </c>
      <c r="G17" s="219">
        <v>5.3100000000000001E-2</v>
      </c>
      <c r="H17" s="219">
        <v>5.4411574122499529E-2</v>
      </c>
      <c r="I17" s="219">
        <v>0</v>
      </c>
      <c r="J17" s="220">
        <v>229</v>
      </c>
      <c r="K17" s="247"/>
      <c r="N17" s="218" t="str">
        <f>IF(_xlfn.XLOOKUP("48 X compensé cuisine",B:B,K:K)="X","48 X compensé cuisine","-")</f>
        <v>48 X compensé cuisine</v>
      </c>
    </row>
    <row r="18" spans="1:14" ht="14.5">
      <c r="B18" s="221" t="s">
        <v>145</v>
      </c>
      <c r="C18" s="227">
        <v>3001</v>
      </c>
      <c r="D18" s="220">
        <v>6000.99</v>
      </c>
      <c r="E18" s="220">
        <v>20</v>
      </c>
      <c r="F18" s="220">
        <v>20</v>
      </c>
      <c r="G18" s="219">
        <v>5.3100000000000001E-2</v>
      </c>
      <c r="H18" s="219">
        <v>5.4411574122499529E-2</v>
      </c>
      <c r="I18" s="219">
        <v>0</v>
      </c>
      <c r="J18" s="220">
        <v>229</v>
      </c>
      <c r="K18" s="247"/>
      <c r="N18" s="218" t="str">
        <f>IF(_xlfn.XLOOKUP("60 X compensé cuisine",B:B,K:K)="X","60 X compensé cuisine","-")</f>
        <v>60 X compensé cuisine</v>
      </c>
    </row>
    <row r="19" spans="1:14" ht="14.5">
      <c r="B19" s="221" t="s">
        <v>145</v>
      </c>
      <c r="C19" s="227">
        <v>6001</v>
      </c>
      <c r="D19" s="220">
        <v>25000</v>
      </c>
      <c r="E19" s="220">
        <v>20</v>
      </c>
      <c r="F19" s="220">
        <v>20</v>
      </c>
      <c r="G19" s="219">
        <v>5.3100000000000001E-2</v>
      </c>
      <c r="H19" s="219">
        <v>5.4411574122499529E-2</v>
      </c>
      <c r="I19" s="219">
        <v>0</v>
      </c>
      <c r="J19" s="220">
        <v>229</v>
      </c>
      <c r="K19" s="247"/>
      <c r="N19" s="221" t="str">
        <f>IF(_xlfn.XLOOKUP("10 X payant",B:B,K:K)="X","10 X payant","-")</f>
        <v>10 X payant</v>
      </c>
    </row>
    <row r="20" spans="1:14" ht="14.5">
      <c r="B20" s="221" t="s">
        <v>142</v>
      </c>
      <c r="C20" s="227">
        <v>2000</v>
      </c>
      <c r="D20" s="220">
        <v>6000.99</v>
      </c>
      <c r="E20" s="220">
        <v>20</v>
      </c>
      <c r="F20" s="220">
        <v>20</v>
      </c>
      <c r="G20" s="219">
        <v>5.3100000000000001E-2</v>
      </c>
      <c r="H20" s="219">
        <v>5.4411574122499529E-2</v>
      </c>
      <c r="I20" s="219">
        <v>0</v>
      </c>
      <c r="J20" s="220">
        <v>229</v>
      </c>
      <c r="K20" s="248" t="s">
        <v>139</v>
      </c>
      <c r="N20" s="221" t="str">
        <f>IF(_xlfn.XLOOKUP("12 X payant",B:B,K:K)="X","12 X payant","-")</f>
        <v>12 X payant</v>
      </c>
    </row>
    <row r="21" spans="1:14" ht="14.5">
      <c r="B21" s="221" t="s">
        <v>142</v>
      </c>
      <c r="C21" s="227">
        <v>3001</v>
      </c>
      <c r="D21" s="220">
        <v>6000.99</v>
      </c>
      <c r="E21" s="220">
        <v>20</v>
      </c>
      <c r="F21" s="220">
        <v>20</v>
      </c>
      <c r="G21" s="219">
        <v>5.3100000000000001E-2</v>
      </c>
      <c r="H21" s="219">
        <v>5.4411574122499529E-2</v>
      </c>
      <c r="I21" s="219">
        <v>0</v>
      </c>
      <c r="J21" s="220">
        <v>229</v>
      </c>
      <c r="K21" s="248" t="s">
        <v>139</v>
      </c>
      <c r="N21" s="221" t="str">
        <f>IF(_xlfn.XLOOKUP("20 X payant",B:B,K:K)="X","20 X payant","-")</f>
        <v>20 X payant</v>
      </c>
    </row>
    <row r="22" spans="1:14" ht="14.5">
      <c r="B22" s="221" t="s">
        <v>142</v>
      </c>
      <c r="C22" s="227">
        <v>6001</v>
      </c>
      <c r="D22" s="220">
        <v>25000</v>
      </c>
      <c r="E22" s="220">
        <v>20</v>
      </c>
      <c r="F22" s="220">
        <v>20</v>
      </c>
      <c r="G22" s="219">
        <v>5.3100000000000001E-2</v>
      </c>
      <c r="H22" s="219">
        <v>5.4411574122499529E-2</v>
      </c>
      <c r="I22" s="219">
        <v>0</v>
      </c>
      <c r="J22" s="220">
        <v>229</v>
      </c>
      <c r="K22" s="248" t="s">
        <v>139</v>
      </c>
      <c r="N22" s="221" t="str">
        <f>IF(_xlfn.XLOOKUP("30 X payant",B:B,K:K)="X","30 X payant","-")</f>
        <v>30 X payant</v>
      </c>
    </row>
    <row r="23" spans="1:14" ht="14.5">
      <c r="B23" s="221" t="s">
        <v>146</v>
      </c>
      <c r="C23" s="227">
        <v>480</v>
      </c>
      <c r="D23" s="220">
        <v>3000.99</v>
      </c>
      <c r="E23" s="220">
        <v>30</v>
      </c>
      <c r="F23" s="220">
        <v>30</v>
      </c>
      <c r="G23" s="219">
        <v>7.0000000000000007E-2</v>
      </c>
      <c r="H23" s="219">
        <v>7.2290080856235894E-2</v>
      </c>
      <c r="I23" s="219">
        <v>0</v>
      </c>
      <c r="J23" s="220">
        <v>229</v>
      </c>
      <c r="K23" s="247"/>
      <c r="N23" s="221" t="str">
        <f>IF(_xlfn.XLOOKUP("36 X payant",B:B,K:K)="X","36 X payant","-")</f>
        <v>36 X payant</v>
      </c>
    </row>
    <row r="24" spans="1:14" ht="14.5">
      <c r="B24" s="221" t="s">
        <v>146</v>
      </c>
      <c r="C24" s="227">
        <v>3001</v>
      </c>
      <c r="D24" s="220">
        <v>6000.99</v>
      </c>
      <c r="E24" s="220">
        <v>30</v>
      </c>
      <c r="F24" s="220">
        <v>30</v>
      </c>
      <c r="G24" s="219">
        <v>7.0000000000000007E-2</v>
      </c>
      <c r="H24" s="219">
        <v>7.2290080856235894E-2</v>
      </c>
      <c r="I24" s="219">
        <v>0</v>
      </c>
      <c r="J24" s="220">
        <v>229</v>
      </c>
      <c r="K24" s="247"/>
      <c r="N24" s="221" t="str">
        <f>IF(_xlfn.XLOOKUP("48 X payant",B:B,K:K)="X","48 X payant","-")</f>
        <v>48 X payant</v>
      </c>
    </row>
    <row r="25" spans="1:14" ht="14.5">
      <c r="B25" s="221" t="s">
        <v>146</v>
      </c>
      <c r="C25" s="227">
        <v>6001</v>
      </c>
      <c r="D25" s="220">
        <v>25000</v>
      </c>
      <c r="E25" s="220">
        <v>30</v>
      </c>
      <c r="F25" s="220">
        <v>30</v>
      </c>
      <c r="G25" s="219">
        <v>7.0000000000000007E-2</v>
      </c>
      <c r="H25" s="219">
        <v>7.2290080856235894E-2</v>
      </c>
      <c r="I25" s="219">
        <v>0</v>
      </c>
      <c r="J25" s="220">
        <v>229</v>
      </c>
      <c r="K25" s="247"/>
      <c r="N25" s="221" t="str">
        <f>IF(_xlfn.XLOOKUP("60 X payant",B:B,K:K)="X","60 X payant","-")</f>
        <v>60 X payant</v>
      </c>
    </row>
    <row r="26" spans="1:14" ht="14.5">
      <c r="B26" s="221" t="s">
        <v>147</v>
      </c>
      <c r="C26" s="227">
        <v>580</v>
      </c>
      <c r="D26" s="220">
        <v>3000.99</v>
      </c>
      <c r="E26" s="220">
        <v>36</v>
      </c>
      <c r="F26" s="220">
        <v>36</v>
      </c>
      <c r="G26" s="219">
        <v>0.1104</v>
      </c>
      <c r="H26" s="219">
        <v>0.11616115026912621</v>
      </c>
      <c r="I26" s="219">
        <v>0</v>
      </c>
      <c r="J26" s="220">
        <v>618</v>
      </c>
      <c r="K26" s="247"/>
    </row>
    <row r="27" spans="1:14" ht="13.15" customHeight="1">
      <c r="B27" s="221" t="s">
        <v>147</v>
      </c>
      <c r="C27" s="227">
        <v>3001</v>
      </c>
      <c r="D27" s="220">
        <v>6000.99</v>
      </c>
      <c r="E27" s="220">
        <v>36</v>
      </c>
      <c r="F27" s="220">
        <v>36</v>
      </c>
      <c r="G27" s="219">
        <v>0.1104</v>
      </c>
      <c r="H27" s="219">
        <v>0.11616115026912621</v>
      </c>
      <c r="I27" s="219">
        <v>0</v>
      </c>
      <c r="J27" s="220">
        <v>618</v>
      </c>
      <c r="K27" s="247"/>
    </row>
    <row r="28" spans="1:14" ht="13.15" customHeight="1">
      <c r="B28" s="221" t="s">
        <v>147</v>
      </c>
      <c r="C28" s="227">
        <v>6001</v>
      </c>
      <c r="D28" s="220">
        <v>25000</v>
      </c>
      <c r="E28" s="220">
        <v>36</v>
      </c>
      <c r="F28" s="220">
        <v>36</v>
      </c>
      <c r="G28" s="219">
        <v>8.2799999999999999E-2</v>
      </c>
      <c r="H28" s="219">
        <v>8.5999999999999993E-2</v>
      </c>
      <c r="I28" s="219">
        <v>0</v>
      </c>
      <c r="J28" s="220">
        <v>618</v>
      </c>
      <c r="K28" s="247"/>
    </row>
    <row r="29" spans="1:14" ht="13.15" customHeight="1">
      <c r="B29" s="221" t="s">
        <v>148</v>
      </c>
      <c r="C29" s="227">
        <v>770</v>
      </c>
      <c r="D29" s="220">
        <v>3000.99</v>
      </c>
      <c r="E29" s="220">
        <v>48</v>
      </c>
      <c r="F29" s="220">
        <v>48</v>
      </c>
      <c r="G29" s="219">
        <v>0.11</v>
      </c>
      <c r="H29" s="219">
        <v>0.11571883619521484</v>
      </c>
      <c r="I29" s="219">
        <v>0</v>
      </c>
      <c r="J29" s="220">
        <v>618</v>
      </c>
      <c r="K29" s="247"/>
    </row>
    <row r="30" spans="1:14" ht="14.5">
      <c r="A30" s="224" t="s">
        <v>149</v>
      </c>
      <c r="B30" s="221" t="s">
        <v>148</v>
      </c>
      <c r="C30" s="227">
        <v>3001</v>
      </c>
      <c r="D30" s="220">
        <v>6000.99</v>
      </c>
      <c r="E30" s="220">
        <v>48</v>
      </c>
      <c r="F30" s="220">
        <v>48</v>
      </c>
      <c r="G30" s="219">
        <v>0.11</v>
      </c>
      <c r="H30" s="219">
        <v>0.11571883619521484</v>
      </c>
      <c r="I30" s="219">
        <v>0</v>
      </c>
      <c r="J30" s="220">
        <v>618</v>
      </c>
      <c r="K30" s="247"/>
    </row>
    <row r="31" spans="1:14" ht="14.5">
      <c r="B31" s="221" t="s">
        <v>148</v>
      </c>
      <c r="C31" s="227">
        <v>6001</v>
      </c>
      <c r="D31" s="220">
        <v>25000</v>
      </c>
      <c r="E31" s="220">
        <v>48</v>
      </c>
      <c r="F31" s="220">
        <v>48</v>
      </c>
      <c r="G31" s="219">
        <v>8.2799999999999999E-2</v>
      </c>
      <c r="H31" s="219">
        <v>8.5999999999999993E-2</v>
      </c>
      <c r="I31" s="219">
        <v>0</v>
      </c>
      <c r="J31" s="220">
        <v>618</v>
      </c>
      <c r="K31" s="247"/>
    </row>
    <row r="32" spans="1:14" ht="14.5">
      <c r="B32" s="221" t="s">
        <v>150</v>
      </c>
      <c r="C32" s="227">
        <v>960</v>
      </c>
      <c r="D32" s="220">
        <v>3000.99</v>
      </c>
      <c r="E32" s="220">
        <v>60</v>
      </c>
      <c r="F32" s="220">
        <v>60</v>
      </c>
      <c r="G32" s="219">
        <v>0.1103</v>
      </c>
      <c r="H32" s="219">
        <v>0.1160505566840444</v>
      </c>
      <c r="I32" s="219">
        <v>0</v>
      </c>
      <c r="J32" s="220">
        <v>618</v>
      </c>
      <c r="K32" s="247"/>
    </row>
    <row r="33" spans="2:11" ht="14.5">
      <c r="B33" s="221" t="s">
        <v>150</v>
      </c>
      <c r="C33" s="227">
        <v>3001</v>
      </c>
      <c r="D33" s="220">
        <v>6000.99</v>
      </c>
      <c r="E33" s="220">
        <v>60</v>
      </c>
      <c r="F33" s="220">
        <v>60</v>
      </c>
      <c r="G33" s="219">
        <v>0.1103</v>
      </c>
      <c r="H33" s="219">
        <v>0.1160505566840444</v>
      </c>
      <c r="I33" s="219">
        <v>0</v>
      </c>
      <c r="J33" s="220">
        <v>618</v>
      </c>
      <c r="K33" s="247"/>
    </row>
    <row r="34" spans="2:11" ht="14.5">
      <c r="B34" s="221" t="s">
        <v>150</v>
      </c>
      <c r="C34" s="227">
        <v>6001</v>
      </c>
      <c r="D34" s="220">
        <v>25000</v>
      </c>
      <c r="E34" s="220">
        <v>60</v>
      </c>
      <c r="F34" s="220">
        <v>60</v>
      </c>
      <c r="G34" s="219">
        <v>8.2799999999999999E-2</v>
      </c>
      <c r="H34" s="219">
        <v>8.5999999999999993E-2</v>
      </c>
      <c r="I34" s="219">
        <v>0</v>
      </c>
      <c r="J34" s="220">
        <v>618</v>
      </c>
      <c r="K34" s="247"/>
    </row>
    <row r="35" spans="2:11" ht="14.5">
      <c r="B35" s="221" t="s">
        <v>151</v>
      </c>
      <c r="C35" s="227">
        <v>1000</v>
      </c>
      <c r="D35" s="220">
        <v>3000.99</v>
      </c>
      <c r="E35" s="220">
        <v>12</v>
      </c>
      <c r="F35" s="220">
        <v>12</v>
      </c>
      <c r="G35" s="219">
        <v>8.5748396272029126E-2</v>
      </c>
      <c r="H35" s="219">
        <v>8.9200000000000168E-2</v>
      </c>
      <c r="I35" s="219">
        <v>4.9000000000000002E-2</v>
      </c>
      <c r="J35" s="220">
        <v>621</v>
      </c>
      <c r="K35" s="247" t="s">
        <v>139</v>
      </c>
    </row>
    <row r="36" spans="2:11" ht="14.5">
      <c r="B36" s="221" t="s">
        <v>151</v>
      </c>
      <c r="C36" s="227">
        <v>3001</v>
      </c>
      <c r="D36" s="220">
        <v>6000.99</v>
      </c>
      <c r="E36" s="220">
        <v>12</v>
      </c>
      <c r="F36" s="220">
        <v>12</v>
      </c>
      <c r="G36" s="219">
        <v>8.5748396272029126E-2</v>
      </c>
      <c r="H36" s="219">
        <v>8.9200000000000168E-2</v>
      </c>
      <c r="I36" s="219">
        <v>4.9000000000000002E-2</v>
      </c>
      <c r="J36" s="220">
        <v>621</v>
      </c>
      <c r="K36" s="247" t="s">
        <v>139</v>
      </c>
    </row>
    <row r="37" spans="2:11" ht="14.5">
      <c r="B37" s="221" t="s">
        <v>151</v>
      </c>
      <c r="C37" s="227">
        <v>6001</v>
      </c>
      <c r="D37" s="220">
        <v>25000</v>
      </c>
      <c r="E37" s="220">
        <v>12</v>
      </c>
      <c r="F37" s="220">
        <v>12</v>
      </c>
      <c r="G37" s="219">
        <v>8.2799999999999999E-2</v>
      </c>
      <c r="H37" s="219">
        <v>8.6015666489925202E-2</v>
      </c>
      <c r="I37" s="219">
        <v>4.9000000000000002E-2</v>
      </c>
      <c r="J37" s="220">
        <v>621</v>
      </c>
      <c r="K37" s="247" t="s">
        <v>139</v>
      </c>
    </row>
    <row r="38" spans="2:11" ht="14.5">
      <c r="B38" s="218" t="s">
        <v>152</v>
      </c>
      <c r="C38" s="227">
        <v>1000</v>
      </c>
      <c r="D38" s="220">
        <v>3000.99</v>
      </c>
      <c r="E38" s="220">
        <v>24</v>
      </c>
      <c r="F38" s="220">
        <v>24</v>
      </c>
      <c r="G38" s="219">
        <v>9.3396445054559685E-2</v>
      </c>
      <c r="H38" s="219">
        <v>9.7499999999998144E-2</v>
      </c>
      <c r="I38" s="219">
        <v>4.9000000000000002E-2</v>
      </c>
      <c r="J38" s="220">
        <v>621</v>
      </c>
      <c r="K38" s="247" t="s">
        <v>139</v>
      </c>
    </row>
    <row r="39" spans="2:11" ht="14.5">
      <c r="B39" s="218" t="s">
        <v>152</v>
      </c>
      <c r="C39" s="227">
        <v>3001</v>
      </c>
      <c r="D39" s="220">
        <v>6000.99</v>
      </c>
      <c r="E39" s="220">
        <v>24</v>
      </c>
      <c r="F39" s="220">
        <v>24</v>
      </c>
      <c r="G39" s="219">
        <v>9.3396445054559685E-2</v>
      </c>
      <c r="H39" s="219">
        <v>9.7499999999998144E-2</v>
      </c>
      <c r="I39" s="219">
        <v>4.9000000000000002E-2</v>
      </c>
      <c r="J39" s="220">
        <v>621</v>
      </c>
      <c r="K39" s="247" t="s">
        <v>139</v>
      </c>
    </row>
    <row r="40" spans="2:11" ht="14.5">
      <c r="B40" s="218" t="s">
        <v>152</v>
      </c>
      <c r="C40" s="227">
        <v>6001</v>
      </c>
      <c r="D40" s="220">
        <v>25000</v>
      </c>
      <c r="E40" s="220">
        <v>24</v>
      </c>
      <c r="F40" s="220">
        <v>24</v>
      </c>
      <c r="G40" s="219">
        <v>8.2799999999999999E-2</v>
      </c>
      <c r="H40" s="219">
        <v>8.6015666489925202E-2</v>
      </c>
      <c r="I40" s="219">
        <v>4.9000000000000002E-2</v>
      </c>
      <c r="J40" s="220">
        <v>621</v>
      </c>
      <c r="K40" s="247" t="s">
        <v>139</v>
      </c>
    </row>
    <row r="41" spans="2:11" ht="14.5">
      <c r="B41" s="218" t="s">
        <v>153</v>
      </c>
      <c r="C41" s="227">
        <v>1000</v>
      </c>
      <c r="D41" s="220">
        <v>3000.99</v>
      </c>
      <c r="E41" s="220">
        <v>36</v>
      </c>
      <c r="F41" s="220">
        <v>36</v>
      </c>
      <c r="G41" s="219">
        <v>8.9717281748961319E-2</v>
      </c>
      <c r="H41" s="219">
        <v>9.3500000000000583E-2</v>
      </c>
      <c r="I41" s="219">
        <v>4.9000000000000002E-2</v>
      </c>
      <c r="J41" s="220">
        <v>621</v>
      </c>
      <c r="K41" s="247" t="s">
        <v>139</v>
      </c>
    </row>
    <row r="42" spans="2:11" ht="16.149999999999999" customHeight="1">
      <c r="B42" s="218" t="s">
        <v>153</v>
      </c>
      <c r="C42" s="227">
        <v>3001</v>
      </c>
      <c r="D42" s="220">
        <v>6000.99</v>
      </c>
      <c r="E42" s="220">
        <v>36</v>
      </c>
      <c r="F42" s="220">
        <v>36</v>
      </c>
      <c r="G42" s="219">
        <v>8.9717281748961319E-2</v>
      </c>
      <c r="H42" s="219">
        <v>9.3500000000000583E-2</v>
      </c>
      <c r="I42" s="219">
        <v>4.9000000000000002E-2</v>
      </c>
      <c r="J42" s="220">
        <v>621</v>
      </c>
      <c r="K42" s="247" t="s">
        <v>139</v>
      </c>
    </row>
    <row r="43" spans="2:11" ht="16.149999999999999" customHeight="1">
      <c r="B43" s="218" t="s">
        <v>153</v>
      </c>
      <c r="C43" s="227">
        <v>6001</v>
      </c>
      <c r="D43" s="220">
        <v>25000</v>
      </c>
      <c r="E43" s="220">
        <v>36</v>
      </c>
      <c r="F43" s="220">
        <v>36</v>
      </c>
      <c r="G43" s="219">
        <v>8.2799999999999999E-2</v>
      </c>
      <c r="H43" s="219">
        <v>8.6015666489925202E-2</v>
      </c>
      <c r="I43" s="219">
        <v>4.9000000000000002E-2</v>
      </c>
      <c r="J43" s="220">
        <v>621</v>
      </c>
      <c r="K43" s="247" t="s">
        <v>139</v>
      </c>
    </row>
    <row r="44" spans="2:11" ht="16.149999999999999" customHeight="1">
      <c r="B44" s="218" t="s">
        <v>154</v>
      </c>
      <c r="C44" s="227">
        <v>1000</v>
      </c>
      <c r="D44" s="220">
        <v>3000.99</v>
      </c>
      <c r="E44" s="220">
        <v>48</v>
      </c>
      <c r="F44" s="220">
        <v>48</v>
      </c>
      <c r="G44" s="219">
        <v>7.9721567977603769E-2</v>
      </c>
      <c r="H44" s="219">
        <v>8.269999999999933E-2</v>
      </c>
      <c r="I44" s="219">
        <v>4.9000000000000002E-2</v>
      </c>
      <c r="J44" s="220">
        <v>621</v>
      </c>
      <c r="K44" s="247" t="s">
        <v>139</v>
      </c>
    </row>
    <row r="45" spans="2:11" ht="14.5">
      <c r="B45" s="218" t="s">
        <v>154</v>
      </c>
      <c r="C45" s="227">
        <v>3001</v>
      </c>
      <c r="D45" s="220">
        <v>6000.99</v>
      </c>
      <c r="E45" s="220">
        <v>48</v>
      </c>
      <c r="F45" s="220">
        <v>48</v>
      </c>
      <c r="G45" s="219">
        <v>7.9721567977603769E-2</v>
      </c>
      <c r="H45" s="219">
        <v>8.269999999999933E-2</v>
      </c>
      <c r="I45" s="219">
        <v>4.9000000000000002E-2</v>
      </c>
      <c r="J45" s="220">
        <v>621</v>
      </c>
      <c r="K45" s="247" t="s">
        <v>139</v>
      </c>
    </row>
    <row r="46" spans="2:11" ht="14.5">
      <c r="B46" s="218" t="s">
        <v>154</v>
      </c>
      <c r="C46" s="227">
        <v>6001</v>
      </c>
      <c r="D46" s="220">
        <v>25000</v>
      </c>
      <c r="E46" s="220">
        <v>48</v>
      </c>
      <c r="F46" s="220">
        <v>48</v>
      </c>
      <c r="G46" s="219">
        <v>7.9721567977603769E-2</v>
      </c>
      <c r="H46" s="219">
        <v>8.269999999999933E-2</v>
      </c>
      <c r="I46" s="219">
        <v>4.9000000000000002E-2</v>
      </c>
      <c r="J46" s="220">
        <v>621</v>
      </c>
      <c r="K46" s="247" t="s">
        <v>139</v>
      </c>
    </row>
    <row r="47" spans="2:11" ht="14.5">
      <c r="B47" s="218" t="s">
        <v>155</v>
      </c>
      <c r="C47" s="227">
        <v>1000</v>
      </c>
      <c r="D47" s="220">
        <v>3000.99</v>
      </c>
      <c r="E47" s="220">
        <v>60</v>
      </c>
      <c r="F47" s="220">
        <v>60</v>
      </c>
      <c r="G47" s="219">
        <v>7.3661481015395935E-2</v>
      </c>
      <c r="H47" s="219">
        <v>7.6199999999999379E-2</v>
      </c>
      <c r="I47" s="219">
        <v>4.9000000000000002E-2</v>
      </c>
      <c r="J47" s="220">
        <v>621</v>
      </c>
      <c r="K47" s="247" t="s">
        <v>139</v>
      </c>
    </row>
    <row r="48" spans="2:11" ht="14.5">
      <c r="B48" s="218" t="s">
        <v>155</v>
      </c>
      <c r="C48" s="227">
        <v>3001</v>
      </c>
      <c r="D48" s="220">
        <v>6000.99</v>
      </c>
      <c r="E48" s="220">
        <v>60</v>
      </c>
      <c r="F48" s="220">
        <v>60</v>
      </c>
      <c r="G48" s="219">
        <v>7.3661481015395935E-2</v>
      </c>
      <c r="H48" s="219">
        <v>7.6199999999999379E-2</v>
      </c>
      <c r="I48" s="219">
        <v>4.9000000000000002E-2</v>
      </c>
      <c r="J48" s="220">
        <v>621</v>
      </c>
      <c r="K48" s="247" t="s">
        <v>139</v>
      </c>
    </row>
    <row r="49" spans="1:11" ht="14.5">
      <c r="B49" s="218" t="s">
        <v>155</v>
      </c>
      <c r="C49" s="227">
        <v>6001</v>
      </c>
      <c r="D49" s="220">
        <v>25000</v>
      </c>
      <c r="E49" s="220">
        <v>60</v>
      </c>
      <c r="F49" s="220">
        <v>60</v>
      </c>
      <c r="G49" s="219">
        <v>7.3661481015395935E-2</v>
      </c>
      <c r="H49" s="219">
        <v>7.6199999999999379E-2</v>
      </c>
      <c r="I49" s="219">
        <v>4.9000000000000002E-2</v>
      </c>
      <c r="J49" s="220">
        <v>621</v>
      </c>
      <c r="K49" s="247" t="s">
        <v>139</v>
      </c>
    </row>
    <row r="50" spans="1:11" ht="14.5">
      <c r="A50" s="224" t="s">
        <v>156</v>
      </c>
      <c r="B50" s="221" t="s">
        <v>157</v>
      </c>
      <c r="C50" s="227">
        <v>160</v>
      </c>
      <c r="D50" s="220">
        <v>3000.99</v>
      </c>
      <c r="E50" s="220">
        <v>10</v>
      </c>
      <c r="F50" s="220">
        <v>10</v>
      </c>
      <c r="G50" s="219">
        <v>0.1721</v>
      </c>
      <c r="H50" s="219">
        <v>0.18634549997551919</v>
      </c>
      <c r="I50" s="219">
        <v>0.18634549997551919</v>
      </c>
      <c r="J50" s="220">
        <v>270</v>
      </c>
      <c r="K50" s="247" t="s">
        <v>139</v>
      </c>
    </row>
    <row r="51" spans="1:11" ht="14.5">
      <c r="B51" s="221" t="s">
        <v>157</v>
      </c>
      <c r="C51" s="227">
        <v>3001</v>
      </c>
      <c r="D51" s="220">
        <v>6000.99</v>
      </c>
      <c r="E51" s="220">
        <v>10</v>
      </c>
      <c r="F51" s="220">
        <v>10</v>
      </c>
      <c r="G51" s="219">
        <v>0.14699999999999999</v>
      </c>
      <c r="H51" s="219">
        <v>0.15731991185307237</v>
      </c>
      <c r="I51" s="219">
        <v>0.15731991185307237</v>
      </c>
      <c r="J51" s="220">
        <v>270</v>
      </c>
      <c r="K51" s="247" t="s">
        <v>139</v>
      </c>
    </row>
    <row r="52" spans="1:11" ht="14.5">
      <c r="B52" s="221" t="s">
        <v>157</v>
      </c>
      <c r="C52" s="227">
        <v>6001</v>
      </c>
      <c r="D52" s="220">
        <v>25000</v>
      </c>
      <c r="E52" s="220">
        <v>10</v>
      </c>
      <c r="F52" s="220">
        <v>10</v>
      </c>
      <c r="G52" s="219">
        <v>8.2799999999999999E-2</v>
      </c>
      <c r="H52" s="219">
        <v>8.6015666489925202E-2</v>
      </c>
      <c r="I52" s="219">
        <v>8.6015666489925202E-2</v>
      </c>
      <c r="J52" s="220">
        <v>270</v>
      </c>
      <c r="K52" s="247" t="s">
        <v>139</v>
      </c>
    </row>
    <row r="53" spans="1:11" ht="14.5">
      <c r="B53" s="221" t="s">
        <v>158</v>
      </c>
      <c r="C53" s="227">
        <v>200</v>
      </c>
      <c r="D53" s="220">
        <v>3000.99</v>
      </c>
      <c r="E53" s="220">
        <v>12</v>
      </c>
      <c r="F53" s="220">
        <v>12</v>
      </c>
      <c r="G53" s="219">
        <v>0.1615</v>
      </c>
      <c r="H53" s="219">
        <v>0.17400724531712464</v>
      </c>
      <c r="I53" s="219">
        <v>0.17400724531712464</v>
      </c>
      <c r="J53" s="220">
        <v>270</v>
      </c>
      <c r="K53" s="247" t="s">
        <v>139</v>
      </c>
    </row>
    <row r="54" spans="1:11" ht="14.5">
      <c r="B54" s="221" t="s">
        <v>158</v>
      </c>
      <c r="C54" s="227">
        <v>3001</v>
      </c>
      <c r="D54" s="220">
        <v>6000.99</v>
      </c>
      <c r="E54" s="220">
        <v>12</v>
      </c>
      <c r="F54" s="220">
        <v>12</v>
      </c>
      <c r="G54" s="219">
        <v>0.14699999999999999</v>
      </c>
      <c r="H54" s="219">
        <v>0.15731991185307237</v>
      </c>
      <c r="I54" s="219">
        <v>0.15731991185307237</v>
      </c>
      <c r="J54" s="220">
        <v>270</v>
      </c>
      <c r="K54" s="247" t="s">
        <v>139</v>
      </c>
    </row>
    <row r="55" spans="1:11" ht="14.5">
      <c r="B55" s="221" t="s">
        <v>158</v>
      </c>
      <c r="C55" s="227">
        <v>6001</v>
      </c>
      <c r="D55" s="220">
        <v>25000</v>
      </c>
      <c r="E55" s="220">
        <v>12</v>
      </c>
      <c r="F55" s="220">
        <v>12</v>
      </c>
      <c r="G55" s="219">
        <v>8.2799999999999999E-2</v>
      </c>
      <c r="H55" s="219">
        <v>8.6015666489925202E-2</v>
      </c>
      <c r="I55" s="219">
        <v>8.6015666489925202E-2</v>
      </c>
      <c r="J55" s="220">
        <v>270</v>
      </c>
      <c r="K55" s="247" t="s">
        <v>139</v>
      </c>
    </row>
    <row r="56" spans="1:11" ht="13.9" customHeight="1">
      <c r="B56" s="221" t="s">
        <v>159</v>
      </c>
      <c r="C56" s="227">
        <v>320</v>
      </c>
      <c r="D56" s="220">
        <v>3000.99</v>
      </c>
      <c r="E56" s="220">
        <v>20</v>
      </c>
      <c r="F56" s="220">
        <v>20</v>
      </c>
      <c r="G56" s="219">
        <v>0.1615</v>
      </c>
      <c r="H56" s="219">
        <v>0.17400724531712464</v>
      </c>
      <c r="I56" s="219">
        <v>0.17400724531712464</v>
      </c>
      <c r="J56" s="220">
        <v>270</v>
      </c>
      <c r="K56" s="247" t="s">
        <v>139</v>
      </c>
    </row>
    <row r="57" spans="1:11" ht="13.9" customHeight="1">
      <c r="B57" s="221" t="s">
        <v>159</v>
      </c>
      <c r="C57" s="227">
        <v>3001</v>
      </c>
      <c r="D57" s="220">
        <v>6000.99</v>
      </c>
      <c r="E57" s="220">
        <v>20</v>
      </c>
      <c r="F57" s="220">
        <v>20</v>
      </c>
      <c r="G57" s="219">
        <v>0.14699999999999999</v>
      </c>
      <c r="H57" s="219">
        <v>0.15731991185307237</v>
      </c>
      <c r="I57" s="219">
        <v>0.15731991185307237</v>
      </c>
      <c r="J57" s="220">
        <v>270</v>
      </c>
      <c r="K57" s="247" t="s">
        <v>139</v>
      </c>
    </row>
    <row r="58" spans="1:11" ht="13.9" customHeight="1">
      <c r="B58" s="221" t="s">
        <v>159</v>
      </c>
      <c r="C58" s="227">
        <v>6001</v>
      </c>
      <c r="D58" s="220">
        <v>25000</v>
      </c>
      <c r="E58" s="220">
        <v>20</v>
      </c>
      <c r="F58" s="220">
        <v>20</v>
      </c>
      <c r="G58" s="219">
        <v>8.2799999999999999E-2</v>
      </c>
      <c r="H58" s="219">
        <v>8.6015666489925202E-2</v>
      </c>
      <c r="I58" s="219">
        <v>8.6015666489925202E-2</v>
      </c>
      <c r="J58" s="220">
        <v>270</v>
      </c>
      <c r="K58" s="247" t="s">
        <v>139</v>
      </c>
    </row>
    <row r="59" spans="1:11" ht="14.5">
      <c r="B59" s="221" t="s">
        <v>160</v>
      </c>
      <c r="C59" s="227">
        <v>480</v>
      </c>
      <c r="D59" s="220">
        <v>3000.99</v>
      </c>
      <c r="E59" s="220">
        <v>30</v>
      </c>
      <c r="F59" s="220">
        <v>30</v>
      </c>
      <c r="G59" s="219">
        <v>0.14180000000000001</v>
      </c>
      <c r="H59" s="219">
        <v>0.15138865547753055</v>
      </c>
      <c r="I59" s="219">
        <v>0.15138865547753055</v>
      </c>
      <c r="J59" s="220">
        <v>270</v>
      </c>
      <c r="K59" s="247" t="s">
        <v>139</v>
      </c>
    </row>
    <row r="60" spans="1:11" ht="14.5">
      <c r="B60" s="221" t="s">
        <v>160</v>
      </c>
      <c r="C60" s="227">
        <v>3001</v>
      </c>
      <c r="D60" s="220">
        <v>6000.99</v>
      </c>
      <c r="E60" s="220">
        <v>30</v>
      </c>
      <c r="F60" s="220">
        <v>30</v>
      </c>
      <c r="G60" s="219">
        <v>0.14180000000000001</v>
      </c>
      <c r="H60" s="219">
        <v>0.15138865547753055</v>
      </c>
      <c r="I60" s="219">
        <v>0.15138865547753055</v>
      </c>
      <c r="J60" s="220">
        <v>270</v>
      </c>
      <c r="K60" s="247" t="s">
        <v>139</v>
      </c>
    </row>
    <row r="61" spans="1:11" ht="14.5">
      <c r="B61" s="221" t="s">
        <v>160</v>
      </c>
      <c r="C61" s="227">
        <v>6001</v>
      </c>
      <c r="D61" s="220">
        <v>25000</v>
      </c>
      <c r="E61" s="220">
        <v>30</v>
      </c>
      <c r="F61" s="220">
        <v>30</v>
      </c>
      <c r="G61" s="219">
        <v>8.2799999999999999E-2</v>
      </c>
      <c r="H61" s="219">
        <v>8.6015666489925202E-2</v>
      </c>
      <c r="I61" s="219">
        <v>8.6015666489925202E-2</v>
      </c>
      <c r="J61" s="220">
        <v>270</v>
      </c>
      <c r="K61" s="247" t="s">
        <v>139</v>
      </c>
    </row>
    <row r="62" spans="1:11" ht="14.5">
      <c r="B62" s="221" t="s">
        <v>161</v>
      </c>
      <c r="C62" s="227">
        <v>580</v>
      </c>
      <c r="D62" s="220">
        <v>3000.99</v>
      </c>
      <c r="E62" s="220">
        <v>36</v>
      </c>
      <c r="F62" s="220">
        <v>36</v>
      </c>
      <c r="G62" s="219">
        <v>0.14099999999999999</v>
      </c>
      <c r="H62" s="219">
        <v>0.15047863172352183</v>
      </c>
      <c r="I62" s="219">
        <v>0.15047863172352183</v>
      </c>
      <c r="J62" s="220">
        <v>270</v>
      </c>
      <c r="K62" s="247" t="s">
        <v>139</v>
      </c>
    </row>
    <row r="63" spans="1:11" ht="14.5">
      <c r="B63" s="221" t="s">
        <v>161</v>
      </c>
      <c r="C63" s="227">
        <v>3001</v>
      </c>
      <c r="D63" s="220">
        <v>6000.99</v>
      </c>
      <c r="E63" s="220">
        <v>36</v>
      </c>
      <c r="F63" s="220">
        <v>36</v>
      </c>
      <c r="G63" s="219">
        <v>0.14099999999999999</v>
      </c>
      <c r="H63" s="219">
        <v>0.15047863172352183</v>
      </c>
      <c r="I63" s="219">
        <v>0.15047863172352183</v>
      </c>
      <c r="J63" s="220">
        <v>270</v>
      </c>
      <c r="K63" s="247" t="s">
        <v>139</v>
      </c>
    </row>
    <row r="64" spans="1:11" ht="14.5">
      <c r="B64" s="221" t="s">
        <v>161</v>
      </c>
      <c r="C64" s="227">
        <v>6001</v>
      </c>
      <c r="D64" s="220">
        <v>25000</v>
      </c>
      <c r="E64" s="220">
        <v>36</v>
      </c>
      <c r="F64" s="220">
        <v>36</v>
      </c>
      <c r="G64" s="219">
        <v>8.2799999999999999E-2</v>
      </c>
      <c r="H64" s="219">
        <v>8.6015666489925202E-2</v>
      </c>
      <c r="I64" s="219">
        <v>8.6015666489925202E-2</v>
      </c>
      <c r="J64" s="220">
        <v>270</v>
      </c>
      <c r="K64" s="247" t="s">
        <v>139</v>
      </c>
    </row>
    <row r="65" spans="2:11" ht="14.5">
      <c r="B65" s="221" t="s">
        <v>162</v>
      </c>
      <c r="C65" s="227">
        <v>770</v>
      </c>
      <c r="D65" s="220">
        <v>3000.99</v>
      </c>
      <c r="E65" s="220">
        <v>48</v>
      </c>
      <c r="F65" s="220">
        <v>48</v>
      </c>
      <c r="G65" s="219">
        <v>0.14099999999999999</v>
      </c>
      <c r="H65" s="219">
        <v>0.15047863172352183</v>
      </c>
      <c r="I65" s="219">
        <v>0.15047863172352183</v>
      </c>
      <c r="J65" s="220">
        <v>270</v>
      </c>
      <c r="K65" s="247" t="s">
        <v>139</v>
      </c>
    </row>
    <row r="66" spans="2:11" ht="14.5">
      <c r="B66" s="221" t="s">
        <v>162</v>
      </c>
      <c r="C66" s="227">
        <v>3001</v>
      </c>
      <c r="D66" s="220">
        <v>6000.99</v>
      </c>
      <c r="E66" s="220">
        <v>48</v>
      </c>
      <c r="F66" s="220">
        <v>48</v>
      </c>
      <c r="G66" s="219">
        <v>0.14099999999999999</v>
      </c>
      <c r="H66" s="219">
        <v>0.15047863172352183</v>
      </c>
      <c r="I66" s="219">
        <v>0.15047863172352183</v>
      </c>
      <c r="J66" s="220">
        <v>270</v>
      </c>
      <c r="K66" s="247" t="s">
        <v>139</v>
      </c>
    </row>
    <row r="67" spans="2:11" ht="14.5">
      <c r="B67" s="221" t="s">
        <v>162</v>
      </c>
      <c r="C67" s="227">
        <v>6001</v>
      </c>
      <c r="D67" s="220">
        <v>25000</v>
      </c>
      <c r="E67" s="220">
        <v>48</v>
      </c>
      <c r="F67" s="220">
        <v>48</v>
      </c>
      <c r="G67" s="219">
        <v>8.2799999999999999E-2</v>
      </c>
      <c r="H67" s="219">
        <v>8.6015666489925202E-2</v>
      </c>
      <c r="I67" s="219">
        <v>8.6015666489925202E-2</v>
      </c>
      <c r="J67" s="220">
        <v>270</v>
      </c>
      <c r="K67" s="247" t="s">
        <v>139</v>
      </c>
    </row>
    <row r="68" spans="2:11" ht="14.5">
      <c r="B68" s="221" t="s">
        <v>163</v>
      </c>
      <c r="C68" s="227">
        <v>960</v>
      </c>
      <c r="D68" s="220">
        <v>3000.99</v>
      </c>
      <c r="E68" s="220">
        <v>60</v>
      </c>
      <c r="F68" s="220">
        <v>60</v>
      </c>
      <c r="G68" s="219">
        <v>0.14099999999999999</v>
      </c>
      <c r="H68" s="219">
        <v>0.15047863172352183</v>
      </c>
      <c r="I68" s="219">
        <v>0.15047863172352183</v>
      </c>
      <c r="J68" s="220">
        <v>270</v>
      </c>
      <c r="K68" s="247" t="s">
        <v>139</v>
      </c>
    </row>
    <row r="69" spans="2:11" ht="14.5">
      <c r="B69" s="221" t="s">
        <v>163</v>
      </c>
      <c r="C69" s="227">
        <v>3001</v>
      </c>
      <c r="D69" s="220">
        <v>6000.99</v>
      </c>
      <c r="E69" s="220">
        <v>60</v>
      </c>
      <c r="F69" s="220">
        <v>60</v>
      </c>
      <c r="G69" s="219">
        <v>0.14099999999999999</v>
      </c>
      <c r="H69" s="219">
        <v>0.15047863172352183</v>
      </c>
      <c r="I69" s="219">
        <v>0.15047863172352183</v>
      </c>
      <c r="J69" s="220">
        <v>270</v>
      </c>
      <c r="K69" s="247" t="s">
        <v>139</v>
      </c>
    </row>
    <row r="70" spans="2:11" ht="14.5">
      <c r="B70" s="221" t="s">
        <v>163</v>
      </c>
      <c r="C70" s="227">
        <v>6001</v>
      </c>
      <c r="D70" s="220">
        <v>25000</v>
      </c>
      <c r="E70" s="220">
        <v>60</v>
      </c>
      <c r="F70" s="220">
        <v>60</v>
      </c>
      <c r="G70" s="219">
        <v>8.2799999999999999E-2</v>
      </c>
      <c r="H70" s="219">
        <v>8.6015666489925202E-2</v>
      </c>
      <c r="I70" s="219">
        <v>8.6015666489925202E-2</v>
      </c>
      <c r="J70" s="220">
        <v>270</v>
      </c>
      <c r="K70" s="247" t="s">
        <v>139</v>
      </c>
    </row>
  </sheetData>
  <autoFilter ref="N1:N25" xr:uid="{FA5004F2-0E4A-4C81-99AE-A3407302DB0D}"/>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A21C36FC7ADB8479CBC6E297D9FB3EB" ma:contentTypeVersion="1" ma:contentTypeDescription="Crée un document." ma:contentTypeScope="" ma:versionID="5517fdae66e37e18c906cd96796778c8">
  <xsd:schema xmlns:xsd="http://www.w3.org/2001/XMLSchema" xmlns:xs="http://www.w3.org/2001/XMLSchema" xmlns:p="http://schemas.microsoft.com/office/2006/metadata/properties" xmlns:ns2="6938b98d-6717-46f6-a908-df11abb15c3c" targetNamespace="http://schemas.microsoft.com/office/2006/metadata/properties" ma:root="true" ma:fieldsID="b858e709e72d3f0f48406cdcafd8808a" ns2:_="">
    <xsd:import namespace="6938b98d-6717-46f6-a908-df11abb15c3c"/>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38b98d-6717-46f6-a908-df11abb15c3c" elementFormDefault="qualified">
    <xsd:import namespace="http://schemas.microsoft.com/office/2006/documentManagement/types"/>
    <xsd:import namespace="http://schemas.microsoft.com/office/infopath/2007/PartnerControls"/>
    <xsd:element name="SharedWithUsers" ma:index="8" nillable="true" ma:displayName="Partagé avec"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F52B33-3A75-4CF9-981F-D9A25008C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938b98d-6717-46f6-a908-df11abb15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8552CE-E190-41C7-A192-AE0CEF5ACE2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F7A2A6F-2E5F-4459-954A-59298250F0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3</vt:i4>
      </vt:variant>
    </vt:vector>
  </HeadingPairs>
  <TitlesOfParts>
    <vt:vector size="8" baseType="lpstr">
      <vt:lpstr>Simulateur</vt:lpstr>
      <vt:lpstr>PLV</vt:lpstr>
      <vt:lpstr>Calcul </vt:lpstr>
      <vt:lpstr>TAEA</vt:lpstr>
      <vt:lpstr>gamme</vt:lpstr>
      <vt:lpstr>'Calcul '!Impression_des_titres</vt:lpstr>
      <vt:lpstr>'Calcul '!Zone_d_impression</vt:lpstr>
      <vt:lpstr>Simulateur!Zone_d_impression</vt:lpstr>
    </vt:vector>
  </TitlesOfParts>
  <Manager/>
  <Company>BNP Paribas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151050</dc:creator>
  <cp:keywords/>
  <dc:description/>
  <cp:lastModifiedBy>Florent BLANCHET</cp:lastModifiedBy>
  <cp:revision/>
  <dcterms:created xsi:type="dcterms:W3CDTF">2017-03-10T10:43:05Z</dcterms:created>
  <dcterms:modified xsi:type="dcterms:W3CDTF">2026-05-04T14:45:53Z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0x0101004A21C36FC7ADB8479CBC6E297D9FB3EB</vt:lpwstr>
  </property>
  <property fmtid="{D5CDD505-2E9C-101B-9397-08002B2CF9AE}" pid="3" name="MSIP_Label_812e1ed0-4700-41e0-aec3-61ed249f3333_Enabled">
    <vt:lpwstr>true</vt:lpwstr>
  </property>
  <property fmtid="{D5CDD505-2E9C-101B-9397-08002B2CF9AE}" pid="4" name="MSIP_Label_812e1ed0-4700-41e0-aec3-61ed249f3333_SetDate">
    <vt:lpwstr>2022-03-01T08:02:13Z</vt:lpwstr>
  </property>
  <property fmtid="{D5CDD505-2E9C-101B-9397-08002B2CF9AE}" pid="5" name="MSIP_Label_812e1ed0-4700-41e0-aec3-61ed249f3333_Method">
    <vt:lpwstr>Standard</vt:lpwstr>
  </property>
  <property fmtid="{D5CDD505-2E9C-101B-9397-08002B2CF9AE}" pid="6" name="MSIP_Label_812e1ed0-4700-41e0-aec3-61ed249f3333_Name">
    <vt:lpwstr>Internal - Standard</vt:lpwstr>
  </property>
  <property fmtid="{D5CDD505-2E9C-101B-9397-08002B2CF9AE}" pid="7" name="MSIP_Label_812e1ed0-4700-41e0-aec3-61ed249f3333_SiteId">
    <vt:lpwstr>614f9c25-bffa-42c7-86d8-964101f55fa2</vt:lpwstr>
  </property>
  <property fmtid="{D5CDD505-2E9C-101B-9397-08002B2CF9AE}" pid="8" name="MSIP_Label_812e1ed0-4700-41e0-aec3-61ed249f3333_ActionId">
    <vt:lpwstr>a701849d-50e5-4d64-abdc-2286123655d4</vt:lpwstr>
  </property>
  <property fmtid="{D5CDD505-2E9C-101B-9397-08002B2CF9AE}" pid="9" name="MSIP_Label_812e1ed0-4700-41e0-aec3-61ed249f3333_ContentBits">
    <vt:lpwstr>2</vt:lpwstr>
  </property>
</Properties>
</file>